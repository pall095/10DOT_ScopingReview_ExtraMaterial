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10DOT\Deliverable1\"/>
    </mc:Choice>
  </mc:AlternateContent>
  <xr:revisionPtr revIDLastSave="0" documentId="13_ncr:1_{768995F8-26C9-46AB-AA1D-C60DFE3B0504}" xr6:coauthVersionLast="47" xr6:coauthVersionMax="47" xr10:uidLastSave="{00000000-0000-0000-0000-000000000000}"/>
  <bookViews>
    <workbookView xWindow="-105" yWindow="-16320" windowWidth="29040" windowHeight="15720" activeTab="3" xr2:uid="{00000000-000D-0000-FFFF-FFFF00000000}"/>
  </bookViews>
  <sheets>
    <sheet name="RAW_DATA" sheetId="1" r:id="rId1"/>
    <sheet name="Papers" sheetId="2" r:id="rId2"/>
    <sheet name="Codes" sheetId="4" r:id="rId3"/>
    <sheet name="Statistics" sheetId="5" r:id="rId4"/>
    <sheet name="Query" sheetId="6" r:id="rId5"/>
  </sheets>
  <definedNames>
    <definedName name="_xlnm._FilterDatabase" localSheetId="2" hidden="1">Codes!$B$1:$G$80</definedName>
    <definedName name="_xlnm._FilterDatabase" localSheetId="1" hidden="1">Papers!$A$1:$I$600</definedName>
    <definedName name="_xlnm._FilterDatabase" localSheetId="0" hidden="1">RAW_DATA!$A$1:$R$601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e3Q60/77NxVwZ148LivpeNXUCzWtseC4XaMsPzlKG/4="/>
    </ext>
  </extLst>
</workbook>
</file>

<file path=xl/calcChain.xml><?xml version="1.0" encoding="utf-8"?>
<calcChain xmlns="http://schemas.openxmlformats.org/spreadsheetml/2006/main">
  <c r="D13" i="5" l="1"/>
  <c r="D14" i="5"/>
  <c r="D7" i="5"/>
  <c r="D20" i="5"/>
  <c r="D19" i="5"/>
  <c r="D18" i="5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2" i="2"/>
  <c r="D11" i="5"/>
  <c r="D10" i="5"/>
  <c r="D8" i="5"/>
  <c r="D4" i="5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D15" i="5" l="1"/>
  <c r="E14" i="5"/>
  <c r="E13" i="5"/>
  <c r="D21" i="5"/>
  <c r="E7" i="5"/>
  <c r="E8" i="5"/>
  <c r="E11" i="5"/>
  <c r="D12" i="5"/>
  <c r="E18" i="5"/>
  <c r="E19" i="5"/>
  <c r="E20" i="5"/>
  <c r="H5" i="2"/>
  <c r="H20" i="2"/>
  <c r="H11" i="2"/>
  <c r="H12" i="2"/>
  <c r="H28" i="2"/>
  <c r="H8" i="2"/>
  <c r="R508" i="1"/>
  <c r="R159" i="1"/>
  <c r="R31" i="1"/>
  <c r="R219" i="1"/>
  <c r="R541" i="1"/>
  <c r="R511" i="1"/>
  <c r="R417" i="1"/>
  <c r="R87" i="1"/>
  <c r="R95" i="1"/>
  <c r="R143" i="1"/>
  <c r="R15" i="1"/>
  <c r="R185" i="1"/>
  <c r="R202" i="1"/>
  <c r="R71" i="1"/>
  <c r="R55" i="1"/>
  <c r="R79" i="1"/>
  <c r="R127" i="1"/>
  <c r="R492" i="1"/>
  <c r="R364" i="1"/>
  <c r="R521" i="1"/>
  <c r="R381" i="1"/>
  <c r="R111" i="1"/>
  <c r="R39" i="1"/>
  <c r="R347" i="1"/>
  <c r="R287" i="1"/>
  <c r="R151" i="1"/>
  <c r="R23" i="1"/>
  <c r="R270" i="1"/>
  <c r="R135" i="1"/>
  <c r="R7" i="1"/>
  <c r="R330" i="1"/>
  <c r="R63" i="1"/>
  <c r="R47" i="1"/>
  <c r="R590" i="1"/>
  <c r="R253" i="1"/>
  <c r="R119" i="1"/>
  <c r="R313" i="1"/>
  <c r="R236" i="1"/>
  <c r="R103" i="1"/>
  <c r="H15" i="2"/>
  <c r="H10" i="2"/>
  <c r="R580" i="1"/>
  <c r="H326" i="2"/>
  <c r="H413" i="2"/>
  <c r="R260" i="1"/>
  <c r="R277" i="1"/>
  <c r="R294" i="1"/>
  <c r="R311" i="1"/>
  <c r="R337" i="1"/>
  <c r="R354" i="1"/>
  <c r="R371" i="1"/>
  <c r="R388" i="1"/>
  <c r="R397" i="1"/>
  <c r="R406" i="1"/>
  <c r="R415" i="1"/>
  <c r="R443" i="1"/>
  <c r="R452" i="1"/>
  <c r="R461" i="1"/>
  <c r="R470" i="1"/>
  <c r="R500" i="1"/>
  <c r="R519" i="1"/>
  <c r="R529" i="1"/>
  <c r="R549" i="1"/>
  <c r="R598" i="1"/>
  <c r="H14" i="2"/>
  <c r="H37" i="2"/>
  <c r="H43" i="2"/>
  <c r="H64" i="2"/>
  <c r="H71" i="2"/>
  <c r="H111" i="2"/>
  <c r="H124" i="2"/>
  <c r="H131" i="2"/>
  <c r="H137" i="2"/>
  <c r="H150" i="2"/>
  <c r="H183" i="2"/>
  <c r="H196" i="2"/>
  <c r="H202" i="2"/>
  <c r="H215" i="2"/>
  <c r="H246" i="2"/>
  <c r="H295" i="2"/>
  <c r="H339" i="2"/>
  <c r="R20" i="1"/>
  <c r="R166" i="1"/>
  <c r="R183" i="1"/>
  <c r="R209" i="1"/>
  <c r="R226" i="1"/>
  <c r="R243" i="1"/>
  <c r="R6" i="1"/>
  <c r="R14" i="1"/>
  <c r="R22" i="1"/>
  <c r="R30" i="1"/>
  <c r="R38" i="1"/>
  <c r="R46" i="1"/>
  <c r="R54" i="1"/>
  <c r="R62" i="1"/>
  <c r="R70" i="1"/>
  <c r="R78" i="1"/>
  <c r="R86" i="1"/>
  <c r="R94" i="1"/>
  <c r="R102" i="1"/>
  <c r="R110" i="1"/>
  <c r="R118" i="1"/>
  <c r="R126" i="1"/>
  <c r="R134" i="1"/>
  <c r="R142" i="1"/>
  <c r="R150" i="1"/>
  <c r="R158" i="1"/>
  <c r="R175" i="1"/>
  <c r="R201" i="1"/>
  <c r="R218" i="1"/>
  <c r="R235" i="1"/>
  <c r="R252" i="1"/>
  <c r="R269" i="1"/>
  <c r="R286" i="1"/>
  <c r="R303" i="1"/>
  <c r="R329" i="1"/>
  <c r="R346" i="1"/>
  <c r="R363" i="1"/>
  <c r="R380" i="1"/>
  <c r="R425" i="1"/>
  <c r="R510" i="1"/>
  <c r="R540" i="1"/>
  <c r="R559" i="1"/>
  <c r="R569" i="1"/>
  <c r="R589" i="1"/>
  <c r="H9" i="2"/>
  <c r="H50" i="2"/>
  <c r="H78" i="2"/>
  <c r="H85" i="2"/>
  <c r="H92" i="2"/>
  <c r="H99" i="2"/>
  <c r="H105" i="2"/>
  <c r="H118" i="2"/>
  <c r="H157" i="2"/>
  <c r="H164" i="2"/>
  <c r="H170" i="2"/>
  <c r="H228" i="2"/>
  <c r="H253" i="2"/>
  <c r="H310" i="2"/>
  <c r="H361" i="2"/>
  <c r="H419" i="2"/>
  <c r="H158" i="2"/>
  <c r="H254" i="2"/>
  <c r="R167" i="1"/>
  <c r="R193" i="1"/>
  <c r="R210" i="1"/>
  <c r="R227" i="1"/>
  <c r="R244" i="1"/>
  <c r="R261" i="1"/>
  <c r="R278" i="1"/>
  <c r="R295" i="1"/>
  <c r="R321" i="1"/>
  <c r="R338" i="1"/>
  <c r="R355" i="1"/>
  <c r="R372" i="1"/>
  <c r="R389" i="1"/>
  <c r="R398" i="1"/>
  <c r="R407" i="1"/>
  <c r="R435" i="1"/>
  <c r="R444" i="1"/>
  <c r="R453" i="1"/>
  <c r="R462" i="1"/>
  <c r="R471" i="1"/>
  <c r="R481" i="1"/>
  <c r="R501" i="1"/>
  <c r="R550" i="1"/>
  <c r="R599" i="1"/>
  <c r="H26" i="2"/>
  <c r="H32" i="2"/>
  <c r="H44" i="2"/>
  <c r="H58" i="2"/>
  <c r="H151" i="2"/>
  <c r="H190" i="2"/>
  <c r="H197" i="2"/>
  <c r="H203" i="2"/>
  <c r="H247" i="2"/>
  <c r="H260" i="2"/>
  <c r="H296" i="2"/>
  <c r="H303" i="2"/>
  <c r="H347" i="2"/>
  <c r="R177" i="1"/>
  <c r="R194" i="1"/>
  <c r="R211" i="1"/>
  <c r="R228" i="1"/>
  <c r="R245" i="1"/>
  <c r="R262" i="1"/>
  <c r="R279" i="1"/>
  <c r="R305" i="1"/>
  <c r="R322" i="1"/>
  <c r="R339" i="1"/>
  <c r="R356" i="1"/>
  <c r="R373" i="1"/>
  <c r="R390" i="1"/>
  <c r="R399" i="1"/>
  <c r="R427" i="1"/>
  <c r="R436" i="1"/>
  <c r="R445" i="1"/>
  <c r="R454" i="1"/>
  <c r="R463" i="1"/>
  <c r="R502" i="1"/>
  <c r="R532" i="1"/>
  <c r="R551" i="1"/>
  <c r="R561" i="1"/>
  <c r="R581" i="1"/>
  <c r="H27" i="2"/>
  <c r="H33" i="2"/>
  <c r="H45" i="2"/>
  <c r="H59" i="2"/>
  <c r="H100" i="2"/>
  <c r="H106" i="2"/>
  <c r="H235" i="2"/>
  <c r="H297" i="2"/>
  <c r="H341" i="2"/>
  <c r="H38" i="2"/>
  <c r="H171" i="2"/>
  <c r="H274" i="2"/>
  <c r="R8" i="1"/>
  <c r="R16" i="1"/>
  <c r="R24" i="1"/>
  <c r="R32" i="1"/>
  <c r="R40" i="1"/>
  <c r="R48" i="1"/>
  <c r="R56" i="1"/>
  <c r="R64" i="1"/>
  <c r="R72" i="1"/>
  <c r="R80" i="1"/>
  <c r="R88" i="1"/>
  <c r="R96" i="1"/>
  <c r="R104" i="1"/>
  <c r="R112" i="1"/>
  <c r="R120" i="1"/>
  <c r="R128" i="1"/>
  <c r="R136" i="1"/>
  <c r="R144" i="1"/>
  <c r="R152" i="1"/>
  <c r="R169" i="1"/>
  <c r="R186" i="1"/>
  <c r="R203" i="1"/>
  <c r="R220" i="1"/>
  <c r="R237" i="1"/>
  <c r="R254" i="1"/>
  <c r="R271" i="1"/>
  <c r="R297" i="1"/>
  <c r="R314" i="1"/>
  <c r="R331" i="1"/>
  <c r="R348" i="1"/>
  <c r="R365" i="1"/>
  <c r="R382" i="1"/>
  <c r="R409" i="1"/>
  <c r="R473" i="1"/>
  <c r="R493" i="1"/>
  <c r="R542" i="1"/>
  <c r="R572" i="1"/>
  <c r="R591" i="1"/>
  <c r="R601" i="1"/>
  <c r="H6" i="2"/>
  <c r="H16" i="2"/>
  <c r="H39" i="2"/>
  <c r="H52" i="2"/>
  <c r="H66" i="2"/>
  <c r="H73" i="2"/>
  <c r="H87" i="2"/>
  <c r="H126" i="2"/>
  <c r="H133" i="2"/>
  <c r="H139" i="2"/>
  <c r="H191" i="2"/>
  <c r="H198" i="2"/>
  <c r="H210" i="2"/>
  <c r="H275" i="2"/>
  <c r="H583" i="2"/>
  <c r="H34" i="2"/>
  <c r="H60" i="2"/>
  <c r="H94" i="2"/>
  <c r="H101" i="2"/>
  <c r="H107" i="2"/>
  <c r="H159" i="2"/>
  <c r="H166" i="2"/>
  <c r="H178" i="2"/>
  <c r="H223" i="2"/>
  <c r="H230" i="2"/>
  <c r="H255" i="2"/>
  <c r="H327" i="2"/>
  <c r="H86" i="2"/>
  <c r="H138" i="2"/>
  <c r="H222" i="2"/>
  <c r="H333" i="2"/>
  <c r="R323" i="1"/>
  <c r="R340" i="1"/>
  <c r="R357" i="1"/>
  <c r="R374" i="1"/>
  <c r="R391" i="1"/>
  <c r="R419" i="1"/>
  <c r="R428" i="1"/>
  <c r="R437" i="1"/>
  <c r="R446" i="1"/>
  <c r="R455" i="1"/>
  <c r="R484" i="1"/>
  <c r="R503" i="1"/>
  <c r="R513" i="1"/>
  <c r="R533" i="1"/>
  <c r="R582" i="1"/>
  <c r="R9" i="1"/>
  <c r="R17" i="1"/>
  <c r="R25" i="1"/>
  <c r="R33" i="1"/>
  <c r="R41" i="1"/>
  <c r="R49" i="1"/>
  <c r="R57" i="1"/>
  <c r="R65" i="1"/>
  <c r="R73" i="1"/>
  <c r="R81" i="1"/>
  <c r="R89" i="1"/>
  <c r="R97" i="1"/>
  <c r="R105" i="1"/>
  <c r="R113" i="1"/>
  <c r="R121" i="1"/>
  <c r="R129" i="1"/>
  <c r="R137" i="1"/>
  <c r="R145" i="1"/>
  <c r="R153" i="1"/>
  <c r="R170" i="1"/>
  <c r="R187" i="1"/>
  <c r="R204" i="1"/>
  <c r="R221" i="1"/>
  <c r="R238" i="1"/>
  <c r="R255" i="1"/>
  <c r="R281" i="1"/>
  <c r="R298" i="1"/>
  <c r="R315" i="1"/>
  <c r="R332" i="1"/>
  <c r="R349" i="1"/>
  <c r="R366" i="1"/>
  <c r="R383" i="1"/>
  <c r="R401" i="1"/>
  <c r="R465" i="1"/>
  <c r="R494" i="1"/>
  <c r="R524" i="1"/>
  <c r="R543" i="1"/>
  <c r="R553" i="1"/>
  <c r="R573" i="1"/>
  <c r="H561" i="2"/>
  <c r="H555" i="2"/>
  <c r="H433" i="2"/>
  <c r="H427" i="2"/>
  <c r="H537" i="2"/>
  <c r="H531" i="2"/>
  <c r="H565" i="2"/>
  <c r="H559" i="2"/>
  <c r="H501" i="2"/>
  <c r="H495" i="2"/>
  <c r="H437" i="2"/>
  <c r="H431" i="2"/>
  <c r="H599" i="2"/>
  <c r="H541" i="2"/>
  <c r="H535" i="2"/>
  <c r="H477" i="2"/>
  <c r="H471" i="2"/>
  <c r="H569" i="2"/>
  <c r="H563" i="2"/>
  <c r="H573" i="2"/>
  <c r="H545" i="2"/>
  <c r="H417" i="2"/>
  <c r="R594" i="1"/>
  <c r="R586" i="1"/>
  <c r="R578" i="1"/>
  <c r="R570" i="1"/>
  <c r="R562" i="1"/>
  <c r="R554" i="1"/>
  <c r="R546" i="1"/>
  <c r="R538" i="1"/>
  <c r="R530" i="1"/>
  <c r="R522" i="1"/>
  <c r="R514" i="1"/>
  <c r="R506" i="1"/>
  <c r="R498" i="1"/>
  <c r="R490" i="1"/>
  <c r="R482" i="1"/>
  <c r="R474" i="1"/>
  <c r="R466" i="1"/>
  <c r="R458" i="1"/>
  <c r="R450" i="1"/>
  <c r="R442" i="1"/>
  <c r="R434" i="1"/>
  <c r="R426" i="1"/>
  <c r="R418" i="1"/>
  <c r="R410" i="1"/>
  <c r="R402" i="1"/>
  <c r="R394" i="1"/>
  <c r="H509" i="2"/>
  <c r="H473" i="2"/>
  <c r="H281" i="2"/>
  <c r="H258" i="2"/>
  <c r="H445" i="2"/>
  <c r="H383" i="2"/>
  <c r="H325" i="2"/>
  <c r="H319" i="2"/>
  <c r="H403" i="2"/>
  <c r="H409" i="2"/>
  <c r="H389" i="2"/>
  <c r="H375" i="2"/>
  <c r="H343" i="2"/>
  <c r="R600" i="1"/>
  <c r="R592" i="1"/>
  <c r="R584" i="1"/>
  <c r="R576" i="1"/>
  <c r="R568" i="1"/>
  <c r="R560" i="1"/>
  <c r="R552" i="1"/>
  <c r="R544" i="1"/>
  <c r="R536" i="1"/>
  <c r="R528" i="1"/>
  <c r="R520" i="1"/>
  <c r="R512" i="1"/>
  <c r="R504" i="1"/>
  <c r="R496" i="1"/>
  <c r="R488" i="1"/>
  <c r="R480" i="1"/>
  <c r="R472" i="1"/>
  <c r="R464" i="1"/>
  <c r="R456" i="1"/>
  <c r="R448" i="1"/>
  <c r="R440" i="1"/>
  <c r="R432" i="1"/>
  <c r="R424" i="1"/>
  <c r="R416" i="1"/>
  <c r="R408" i="1"/>
  <c r="R400" i="1"/>
  <c r="R392" i="1"/>
  <c r="R384" i="1"/>
  <c r="R376" i="1"/>
  <c r="R368" i="1"/>
  <c r="R360" i="1"/>
  <c r="R352" i="1"/>
  <c r="R344" i="1"/>
  <c r="R336" i="1"/>
  <c r="R328" i="1"/>
  <c r="R320" i="1"/>
  <c r="R312" i="1"/>
  <c r="R304" i="1"/>
  <c r="R296" i="1"/>
  <c r="R288" i="1"/>
  <c r="R280" i="1"/>
  <c r="R272" i="1"/>
  <c r="R264" i="1"/>
  <c r="R256" i="1"/>
  <c r="R248" i="1"/>
  <c r="R240" i="1"/>
  <c r="R232" i="1"/>
  <c r="R224" i="1"/>
  <c r="R216" i="1"/>
  <c r="R208" i="1"/>
  <c r="R200" i="1"/>
  <c r="R192" i="1"/>
  <c r="R184" i="1"/>
  <c r="R176" i="1"/>
  <c r="R168" i="1"/>
  <c r="R160" i="1"/>
  <c r="H349" i="2"/>
  <c r="H311" i="2"/>
  <c r="H243" i="2"/>
  <c r="H234" i="2"/>
  <c r="H211" i="2"/>
  <c r="H279" i="2"/>
  <c r="H381" i="2"/>
  <c r="H317" i="2"/>
  <c r="H285" i="2"/>
  <c r="H367" i="2"/>
  <c r="H291" i="2"/>
  <c r="H407" i="2"/>
  <c r="H353" i="2"/>
  <c r="H567" i="2"/>
  <c r="H447" i="2"/>
  <c r="H289" i="2"/>
  <c r="H539" i="2"/>
  <c r="H517" i="2"/>
  <c r="H503" i="2"/>
  <c r="H481" i="2"/>
  <c r="H2" i="2"/>
  <c r="R595" i="1"/>
  <c r="R587" i="1"/>
  <c r="R579" i="1"/>
  <c r="R571" i="1"/>
  <c r="R563" i="1"/>
  <c r="R555" i="1"/>
  <c r="R547" i="1"/>
  <c r="R539" i="1"/>
  <c r="R531" i="1"/>
  <c r="R523" i="1"/>
  <c r="R515" i="1"/>
  <c r="R507" i="1"/>
  <c r="R499" i="1"/>
  <c r="R491" i="1"/>
  <c r="R483" i="1"/>
  <c r="R475" i="1"/>
  <c r="H467" i="2"/>
  <c r="H453" i="2"/>
  <c r="H439" i="2"/>
  <c r="H411" i="2"/>
  <c r="H345" i="2"/>
  <c r="H301" i="2"/>
  <c r="H269" i="2"/>
  <c r="H17" i="2"/>
  <c r="H22" i="2"/>
  <c r="H40" i="2"/>
  <c r="H46" i="2"/>
  <c r="H53" i="2"/>
  <c r="H67" i="2"/>
  <c r="H192" i="2"/>
  <c r="H205" i="2"/>
  <c r="H242" i="2"/>
  <c r="H249" i="2"/>
  <c r="H262" i="2"/>
  <c r="H283" i="2"/>
  <c r="H386" i="2"/>
  <c r="H525" i="2"/>
  <c r="H533" i="2"/>
  <c r="H51" i="2"/>
  <c r="H79" i="2"/>
  <c r="H132" i="2"/>
  <c r="H229" i="2"/>
  <c r="R195" i="1"/>
  <c r="R196" i="1"/>
  <c r="R213" i="1"/>
  <c r="R230" i="1"/>
  <c r="R247" i="1"/>
  <c r="R307" i="1"/>
  <c r="R324" i="1"/>
  <c r="R341" i="1"/>
  <c r="R358" i="1"/>
  <c r="R375" i="1"/>
  <c r="R411" i="1"/>
  <c r="R420" i="1"/>
  <c r="R429" i="1"/>
  <c r="R438" i="1"/>
  <c r="R447" i="1"/>
  <c r="R485" i="1"/>
  <c r="R534" i="1"/>
  <c r="R564" i="1"/>
  <c r="R583" i="1"/>
  <c r="R593" i="1"/>
  <c r="H74" i="2"/>
  <c r="H127" i="2"/>
  <c r="H134" i="2"/>
  <c r="H146" i="2"/>
  <c r="H160" i="2"/>
  <c r="H173" i="2"/>
  <c r="H179" i="2"/>
  <c r="H186" i="2"/>
  <c r="H199" i="2"/>
  <c r="H218" i="2"/>
  <c r="H224" i="2"/>
  <c r="H256" i="2"/>
  <c r="H321" i="2"/>
  <c r="H511" i="2"/>
  <c r="H72" i="2"/>
  <c r="H119" i="2"/>
  <c r="H165" i="2"/>
  <c r="H355" i="2"/>
  <c r="R229" i="1"/>
  <c r="R273" i="1"/>
  <c r="R290" i="1"/>
  <c r="R2" i="1"/>
  <c r="R10" i="1"/>
  <c r="R18" i="1"/>
  <c r="R26" i="1"/>
  <c r="R34" i="1"/>
  <c r="R42" i="1"/>
  <c r="R50" i="1"/>
  <c r="R58" i="1"/>
  <c r="R66" i="1"/>
  <c r="R74" i="1"/>
  <c r="R82" i="1"/>
  <c r="R90" i="1"/>
  <c r="R98" i="1"/>
  <c r="R106" i="1"/>
  <c r="R114" i="1"/>
  <c r="R122" i="1"/>
  <c r="R130" i="1"/>
  <c r="R138" i="1"/>
  <c r="R146" i="1"/>
  <c r="R154" i="1"/>
  <c r="R171" i="1"/>
  <c r="R188" i="1"/>
  <c r="R205" i="1"/>
  <c r="R222" i="1"/>
  <c r="R239" i="1"/>
  <c r="R265" i="1"/>
  <c r="R282" i="1"/>
  <c r="R299" i="1"/>
  <c r="R316" i="1"/>
  <c r="R333" i="1"/>
  <c r="R350" i="1"/>
  <c r="R367" i="1"/>
  <c r="R393" i="1"/>
  <c r="R457" i="1"/>
  <c r="R476" i="1"/>
  <c r="R495" i="1"/>
  <c r="R505" i="1"/>
  <c r="R525" i="1"/>
  <c r="R574" i="1"/>
  <c r="H7" i="2"/>
  <c r="H18" i="2"/>
  <c r="H23" i="2"/>
  <c r="H35" i="2"/>
  <c r="H41" i="2"/>
  <c r="H47" i="2"/>
  <c r="H54" i="2"/>
  <c r="H68" i="2"/>
  <c r="H95" i="2"/>
  <c r="H102" i="2"/>
  <c r="H114" i="2"/>
  <c r="H167" i="2"/>
  <c r="H193" i="2"/>
  <c r="H231" i="2"/>
  <c r="H237" i="2"/>
  <c r="H250" i="2"/>
  <c r="H277" i="2"/>
  <c r="H365" i="2"/>
  <c r="H379" i="2"/>
  <c r="H526" i="2"/>
  <c r="R161" i="1"/>
  <c r="R289" i="1"/>
  <c r="R162" i="1"/>
  <c r="R179" i="1"/>
  <c r="R180" i="1"/>
  <c r="R197" i="1"/>
  <c r="R214" i="1"/>
  <c r="R231" i="1"/>
  <c r="R257" i="1"/>
  <c r="R274" i="1"/>
  <c r="R291" i="1"/>
  <c r="R308" i="1"/>
  <c r="R325" i="1"/>
  <c r="R342" i="1"/>
  <c r="R359" i="1"/>
  <c r="R385" i="1"/>
  <c r="R403" i="1"/>
  <c r="R412" i="1"/>
  <c r="R421" i="1"/>
  <c r="R430" i="1"/>
  <c r="R439" i="1"/>
  <c r="R467" i="1"/>
  <c r="R486" i="1"/>
  <c r="R516" i="1"/>
  <c r="R535" i="1"/>
  <c r="R545" i="1"/>
  <c r="R565" i="1"/>
  <c r="H29" i="2"/>
  <c r="H75" i="2"/>
  <c r="H89" i="2"/>
  <c r="H128" i="2"/>
  <c r="H141" i="2"/>
  <c r="H147" i="2"/>
  <c r="H154" i="2"/>
  <c r="H161" i="2"/>
  <c r="H180" i="2"/>
  <c r="H206" i="2"/>
  <c r="H212" i="2"/>
  <c r="H225" i="2"/>
  <c r="H257" i="2"/>
  <c r="H263" i="2"/>
  <c r="H329" i="2"/>
  <c r="H482" i="2"/>
  <c r="R212" i="1"/>
  <c r="R263" i="1"/>
  <c r="R306" i="1"/>
  <c r="R163" i="1"/>
  <c r="R27" i="1"/>
  <c r="R43" i="1"/>
  <c r="R51" i="1"/>
  <c r="R67" i="1"/>
  <c r="R75" i="1"/>
  <c r="R83" i="1"/>
  <c r="R91" i="1"/>
  <c r="R99" i="1"/>
  <c r="R107" i="1"/>
  <c r="R115" i="1"/>
  <c r="R123" i="1"/>
  <c r="R131" i="1"/>
  <c r="R139" i="1"/>
  <c r="R147" i="1"/>
  <c r="R155" i="1"/>
  <c r="R172" i="1"/>
  <c r="R189" i="1"/>
  <c r="R206" i="1"/>
  <c r="R223" i="1"/>
  <c r="R249" i="1"/>
  <c r="R266" i="1"/>
  <c r="R317" i="1"/>
  <c r="R334" i="1"/>
  <c r="R351" i="1"/>
  <c r="R377" i="1"/>
  <c r="R449" i="1"/>
  <c r="R477" i="1"/>
  <c r="R526" i="1"/>
  <c r="R556" i="1"/>
  <c r="R575" i="1"/>
  <c r="R585" i="1"/>
  <c r="H3" i="2"/>
  <c r="H42" i="2"/>
  <c r="H55" i="2"/>
  <c r="H62" i="2"/>
  <c r="H69" i="2"/>
  <c r="H82" i="2"/>
  <c r="H96" i="2"/>
  <c r="H109" i="2"/>
  <c r="H115" i="2"/>
  <c r="H122" i="2"/>
  <c r="H135" i="2"/>
  <c r="H174" i="2"/>
  <c r="H187" i="2"/>
  <c r="H194" i="2"/>
  <c r="H200" i="2"/>
  <c r="H219" i="2"/>
  <c r="H278" i="2"/>
  <c r="H366" i="2"/>
  <c r="H380" i="2"/>
  <c r="H475" i="2"/>
  <c r="H505" i="2"/>
  <c r="R3" i="1"/>
  <c r="R11" i="1"/>
  <c r="R19" i="1"/>
  <c r="R35" i="1"/>
  <c r="R59" i="1"/>
  <c r="R283" i="1"/>
  <c r="R300" i="1"/>
  <c r="R164" i="1"/>
  <c r="R181" i="1"/>
  <c r="R198" i="1"/>
  <c r="R215" i="1"/>
  <c r="R241" i="1"/>
  <c r="R258" i="1"/>
  <c r="R275" i="1"/>
  <c r="R292" i="1"/>
  <c r="R309" i="1"/>
  <c r="R326" i="1"/>
  <c r="R343" i="1"/>
  <c r="R369" i="1"/>
  <c r="R386" i="1"/>
  <c r="R395" i="1"/>
  <c r="R404" i="1"/>
  <c r="R413" i="1"/>
  <c r="R422" i="1"/>
  <c r="R431" i="1"/>
  <c r="R459" i="1"/>
  <c r="R468" i="1"/>
  <c r="R487" i="1"/>
  <c r="R497" i="1"/>
  <c r="R517" i="1"/>
  <c r="R566" i="1"/>
  <c r="R596" i="1"/>
  <c r="H24" i="2"/>
  <c r="H76" i="2"/>
  <c r="H103" i="2"/>
  <c r="H129" i="2"/>
  <c r="H148" i="2"/>
  <c r="H162" i="2"/>
  <c r="H168" i="2"/>
  <c r="H181" i="2"/>
  <c r="H207" i="2"/>
  <c r="H213" i="2"/>
  <c r="H226" i="2"/>
  <c r="H232" i="2"/>
  <c r="H238" i="2"/>
  <c r="H244" i="2"/>
  <c r="H251" i="2"/>
  <c r="H315" i="2"/>
  <c r="H373" i="2"/>
  <c r="H483" i="2"/>
  <c r="R4" i="1"/>
  <c r="R28" i="1"/>
  <c r="R84" i="1"/>
  <c r="R92" i="1"/>
  <c r="R108" i="1"/>
  <c r="R124" i="1"/>
  <c r="R132" i="1"/>
  <c r="R140" i="1"/>
  <c r="R148" i="1"/>
  <c r="R156" i="1"/>
  <c r="R173" i="1"/>
  <c r="R190" i="1"/>
  <c r="R207" i="1"/>
  <c r="R233" i="1"/>
  <c r="R250" i="1"/>
  <c r="R267" i="1"/>
  <c r="R284" i="1"/>
  <c r="R301" i="1"/>
  <c r="R318" i="1"/>
  <c r="R335" i="1"/>
  <c r="R361" i="1"/>
  <c r="R378" i="1"/>
  <c r="R441" i="1"/>
  <c r="R478" i="1"/>
  <c r="R527" i="1"/>
  <c r="R537" i="1"/>
  <c r="R557" i="1"/>
  <c r="H30" i="2"/>
  <c r="H56" i="2"/>
  <c r="H83" i="2"/>
  <c r="H90" i="2"/>
  <c r="H97" i="2"/>
  <c r="H116" i="2"/>
  <c r="H142" i="2"/>
  <c r="H155" i="2"/>
  <c r="H175" i="2"/>
  <c r="H188" i="2"/>
  <c r="H195" i="2"/>
  <c r="H201" i="2"/>
  <c r="H264" i="2"/>
  <c r="H271" i="2"/>
  <c r="H323" i="2"/>
  <c r="H359" i="2"/>
  <c r="R246" i="1"/>
  <c r="R44" i="1"/>
  <c r="R60" i="1"/>
  <c r="R76" i="1"/>
  <c r="R100" i="1"/>
  <c r="R165" i="1"/>
  <c r="R182" i="1"/>
  <c r="R199" i="1"/>
  <c r="R225" i="1"/>
  <c r="R242" i="1"/>
  <c r="R259" i="1"/>
  <c r="R276" i="1"/>
  <c r="R293" i="1"/>
  <c r="R310" i="1"/>
  <c r="R327" i="1"/>
  <c r="R353" i="1"/>
  <c r="R370" i="1"/>
  <c r="R387" i="1"/>
  <c r="R396" i="1"/>
  <c r="R405" i="1"/>
  <c r="R414" i="1"/>
  <c r="R423" i="1"/>
  <c r="R451" i="1"/>
  <c r="R460" i="1"/>
  <c r="R469" i="1"/>
  <c r="R518" i="1"/>
  <c r="R548" i="1"/>
  <c r="R567" i="1"/>
  <c r="R577" i="1"/>
  <c r="R597" i="1"/>
  <c r="H19" i="2"/>
  <c r="H25" i="2"/>
  <c r="H36" i="2"/>
  <c r="H63" i="2"/>
  <c r="H70" i="2"/>
  <c r="H77" i="2"/>
  <c r="H110" i="2"/>
  <c r="H123" i="2"/>
  <c r="H130" i="2"/>
  <c r="H136" i="2"/>
  <c r="H149" i="2"/>
  <c r="H163" i="2"/>
  <c r="H169" i="2"/>
  <c r="H182" i="2"/>
  <c r="H214" i="2"/>
  <c r="H227" i="2"/>
  <c r="H233" i="2"/>
  <c r="H239" i="2"/>
  <c r="H245" i="2"/>
  <c r="H294" i="2"/>
  <c r="H316" i="2"/>
  <c r="H338" i="2"/>
  <c r="R178" i="1"/>
  <c r="R12" i="1"/>
  <c r="R36" i="1"/>
  <c r="R52" i="1"/>
  <c r="R68" i="1"/>
  <c r="R116" i="1"/>
  <c r="R5" i="1"/>
  <c r="R13" i="1"/>
  <c r="R21" i="1"/>
  <c r="R29" i="1"/>
  <c r="R37" i="1"/>
  <c r="R45" i="1"/>
  <c r="R53" i="1"/>
  <c r="R61" i="1"/>
  <c r="R69" i="1"/>
  <c r="R77" i="1"/>
  <c r="R85" i="1"/>
  <c r="R93" i="1"/>
  <c r="R101" i="1"/>
  <c r="R109" i="1"/>
  <c r="R117" i="1"/>
  <c r="R125" i="1"/>
  <c r="R133" i="1"/>
  <c r="R141" i="1"/>
  <c r="R149" i="1"/>
  <c r="R157" i="1"/>
  <c r="R174" i="1"/>
  <c r="R191" i="1"/>
  <c r="R217" i="1"/>
  <c r="R234" i="1"/>
  <c r="R251" i="1"/>
  <c r="R268" i="1"/>
  <c r="R285" i="1"/>
  <c r="R302" i="1"/>
  <c r="R319" i="1"/>
  <c r="R345" i="1"/>
  <c r="R362" i="1"/>
  <c r="R379" i="1"/>
  <c r="R433" i="1"/>
  <c r="R479" i="1"/>
  <c r="R489" i="1"/>
  <c r="R509" i="1"/>
  <c r="R558" i="1"/>
  <c r="R588" i="1"/>
  <c r="H4" i="2"/>
  <c r="H31" i="2"/>
  <c r="H57" i="2"/>
  <c r="H84" i="2"/>
  <c r="H91" i="2"/>
  <c r="H98" i="2"/>
  <c r="H104" i="2"/>
  <c r="H117" i="2"/>
  <c r="H143" i="2"/>
  <c r="H156" i="2"/>
  <c r="H259" i="2"/>
  <c r="H265" i="2"/>
  <c r="H309" i="2"/>
  <c r="H360" i="2"/>
  <c r="H455" i="2"/>
  <c r="H108" i="2"/>
  <c r="H140" i="2"/>
  <c r="H172" i="2"/>
  <c r="H204" i="2"/>
  <c r="H236" i="2"/>
  <c r="H282" i="2"/>
  <c r="H314" i="2"/>
  <c r="H371" i="2"/>
  <c r="H391" i="2"/>
  <c r="H405" i="2"/>
  <c r="H425" i="2"/>
  <c r="H474" i="2"/>
  <c r="H488" i="2"/>
  <c r="H510" i="2"/>
  <c r="H581" i="2"/>
  <c r="H595" i="2"/>
  <c r="H49" i="2"/>
  <c r="H81" i="2"/>
  <c r="H113" i="2"/>
  <c r="H145" i="2"/>
  <c r="H177" i="2"/>
  <c r="H209" i="2"/>
  <c r="H241" i="2"/>
  <c r="H352" i="2"/>
  <c r="H378" i="2"/>
  <c r="H385" i="2"/>
  <c r="H418" i="2"/>
  <c r="H553" i="2"/>
  <c r="H574" i="2"/>
  <c r="H302" i="2"/>
  <c r="H346" i="2"/>
  <c r="H399" i="2"/>
  <c r="H454" i="2"/>
  <c r="H461" i="2"/>
  <c r="H489" i="2"/>
  <c r="H589" i="2"/>
  <c r="H575" i="2"/>
  <c r="H290" i="2"/>
  <c r="H322" i="2"/>
  <c r="H393" i="2"/>
  <c r="H441" i="2"/>
  <c r="H448" i="2"/>
  <c r="H469" i="2"/>
  <c r="H497" i="2"/>
  <c r="H547" i="2"/>
  <c r="H597" i="2"/>
  <c r="H354" i="2"/>
  <c r="H387" i="2"/>
  <c r="H394" i="2"/>
  <c r="H401" i="2"/>
  <c r="H442" i="2"/>
  <c r="H449" i="2"/>
  <c r="H498" i="2"/>
  <c r="H519" i="2"/>
  <c r="H598" i="2"/>
  <c r="H261" i="2"/>
  <c r="H272" i="2"/>
  <c r="H335" i="2"/>
  <c r="H342" i="2"/>
  <c r="H374" i="2"/>
  <c r="H421" i="2"/>
  <c r="H435" i="2"/>
  <c r="H463" i="2"/>
  <c r="H491" i="2"/>
  <c r="H506" i="2"/>
  <c r="H513" i="2"/>
  <c r="H527" i="2"/>
  <c r="H577" i="2"/>
  <c r="H591" i="2"/>
  <c r="H220" i="2"/>
  <c r="H252" i="2"/>
  <c r="H266" i="2"/>
  <c r="H298" i="2"/>
  <c r="H304" i="2"/>
  <c r="H388" i="2"/>
  <c r="H443" i="2"/>
  <c r="H450" i="2"/>
  <c r="H499" i="2"/>
  <c r="H549" i="2"/>
  <c r="H570" i="2"/>
  <c r="H21" i="2"/>
  <c r="H65" i="2"/>
  <c r="H273" i="2"/>
  <c r="H292" i="2"/>
  <c r="H336" i="2"/>
  <c r="H368" i="2"/>
  <c r="H395" i="2"/>
  <c r="H422" i="2"/>
  <c r="H429" i="2"/>
  <c r="H457" i="2"/>
  <c r="H485" i="2"/>
  <c r="H507" i="2"/>
  <c r="H585" i="2"/>
  <c r="H88" i="2"/>
  <c r="H120" i="2"/>
  <c r="H152" i="2"/>
  <c r="H184" i="2"/>
  <c r="H216" i="2"/>
  <c r="H248" i="2"/>
  <c r="H286" i="2"/>
  <c r="H305" i="2"/>
  <c r="H318" i="2"/>
  <c r="H324" i="2"/>
  <c r="H330" i="2"/>
  <c r="H362" i="2"/>
  <c r="H382" i="2"/>
  <c r="H415" i="2"/>
  <c r="H444" i="2"/>
  <c r="H521" i="2"/>
  <c r="H543" i="2"/>
  <c r="H550" i="2"/>
  <c r="H557" i="2"/>
  <c r="H571" i="2"/>
  <c r="H13" i="2"/>
  <c r="H61" i="2"/>
  <c r="H93" i="2"/>
  <c r="H125" i="2"/>
  <c r="H189" i="2"/>
  <c r="H221" i="2"/>
  <c r="H267" i="2"/>
  <c r="H280" i="2"/>
  <c r="H293" i="2"/>
  <c r="H299" i="2"/>
  <c r="H337" i="2"/>
  <c r="H369" i="2"/>
  <c r="H430" i="2"/>
  <c r="H451" i="2"/>
  <c r="H458" i="2"/>
  <c r="H465" i="2"/>
  <c r="H486" i="2"/>
  <c r="H493" i="2"/>
  <c r="H529" i="2"/>
  <c r="H586" i="2"/>
  <c r="H593" i="2"/>
  <c r="H306" i="2"/>
  <c r="H350" i="2"/>
  <c r="H363" i="2"/>
  <c r="H416" i="2"/>
  <c r="H423" i="2"/>
  <c r="H479" i="2"/>
  <c r="H515" i="2"/>
  <c r="H522" i="2"/>
  <c r="H544" i="2"/>
  <c r="H579" i="2"/>
  <c r="H121" i="2"/>
  <c r="H153" i="2"/>
  <c r="H185" i="2"/>
  <c r="H217" i="2"/>
  <c r="H268" i="2"/>
  <c r="H287" i="2"/>
  <c r="H300" i="2"/>
  <c r="H331" i="2"/>
  <c r="H344" i="2"/>
  <c r="H357" i="2"/>
  <c r="H390" i="2"/>
  <c r="H397" i="2"/>
  <c r="H410" i="2"/>
  <c r="H438" i="2"/>
  <c r="H452" i="2"/>
  <c r="H466" i="2"/>
  <c r="H494" i="2"/>
  <c r="H530" i="2"/>
  <c r="H551" i="2"/>
  <c r="H48" i="2"/>
  <c r="H80" i="2"/>
  <c r="H112" i="2"/>
  <c r="H144" i="2"/>
  <c r="H176" i="2"/>
  <c r="H208" i="2"/>
  <c r="H240" i="2"/>
  <c r="H313" i="2"/>
  <c r="H424" i="2"/>
  <c r="H459" i="2"/>
  <c r="H480" i="2"/>
  <c r="H487" i="2"/>
  <c r="H502" i="2"/>
  <c r="H516" i="2"/>
  <c r="H538" i="2"/>
  <c r="H580" i="2"/>
  <c r="H587" i="2"/>
  <c r="H288" i="2"/>
  <c r="H307" i="2"/>
  <c r="H320" i="2"/>
  <c r="H332" i="2"/>
  <c r="H351" i="2"/>
  <c r="H358" i="2"/>
  <c r="H377" i="2"/>
  <c r="H384" i="2"/>
  <c r="H446" i="2"/>
  <c r="H523" i="2"/>
  <c r="H364" i="2"/>
  <c r="H370" i="2"/>
  <c r="H428" i="2"/>
  <c r="H434" i="2"/>
  <c r="H492" i="2"/>
  <c r="H556" i="2"/>
  <c r="H562" i="2"/>
  <c r="H312" i="2"/>
  <c r="H376" i="2"/>
  <c r="H440" i="2"/>
  <c r="H504" i="2"/>
  <c r="H568" i="2"/>
  <c r="H400" i="2"/>
  <c r="H406" i="2"/>
  <c r="H464" i="2"/>
  <c r="H470" i="2"/>
  <c r="H528" i="2"/>
  <c r="H534" i="2"/>
  <c r="H592" i="2"/>
  <c r="H284" i="2"/>
  <c r="H348" i="2"/>
  <c r="H412" i="2"/>
  <c r="H476" i="2"/>
  <c r="H540" i="2"/>
  <c r="H546" i="2"/>
  <c r="H552" i="2"/>
  <c r="H558" i="2"/>
  <c r="H308" i="2"/>
  <c r="H372" i="2"/>
  <c r="H436" i="2"/>
  <c r="H500" i="2"/>
  <c r="H564" i="2"/>
  <c r="H512" i="2"/>
  <c r="H518" i="2"/>
  <c r="H576" i="2"/>
  <c r="H582" i="2"/>
  <c r="H396" i="2"/>
  <c r="H402" i="2"/>
  <c r="H460" i="2"/>
  <c r="H524" i="2"/>
  <c r="H588" i="2"/>
  <c r="H594" i="2"/>
  <c r="H408" i="2"/>
  <c r="H414" i="2"/>
  <c r="H472" i="2"/>
  <c r="H478" i="2"/>
  <c r="H536" i="2"/>
  <c r="H542" i="2"/>
  <c r="H600" i="2"/>
  <c r="H356" i="2"/>
  <c r="H420" i="2"/>
  <c r="H426" i="2"/>
  <c r="H484" i="2"/>
  <c r="H490" i="2"/>
  <c r="H548" i="2"/>
  <c r="H554" i="2"/>
  <c r="H432" i="2"/>
  <c r="H496" i="2"/>
  <c r="H560" i="2"/>
  <c r="H566" i="2"/>
  <c r="H508" i="2"/>
  <c r="H514" i="2"/>
  <c r="H572" i="2"/>
  <c r="H578" i="2"/>
  <c r="H270" i="2"/>
  <c r="H328" i="2"/>
  <c r="H334" i="2"/>
  <c r="H392" i="2"/>
  <c r="H398" i="2"/>
  <c r="H456" i="2"/>
  <c r="H462" i="2"/>
  <c r="H520" i="2"/>
  <c r="H584" i="2"/>
  <c r="H590" i="2"/>
  <c r="H276" i="2"/>
  <c r="H340" i="2"/>
  <c r="H404" i="2"/>
  <c r="H468" i="2"/>
  <c r="H532" i="2"/>
  <c r="H596" i="2"/>
  <c r="D9" i="5"/>
  <c r="E10" i="5"/>
</calcChain>
</file>

<file path=xl/sharedStrings.xml><?xml version="1.0" encoding="utf-8"?>
<sst xmlns="http://schemas.openxmlformats.org/spreadsheetml/2006/main" count="8767" uniqueCount="3576">
  <si>
    <t>Authors</t>
  </si>
  <si>
    <t>Title</t>
  </si>
  <si>
    <t>Year</t>
  </si>
  <si>
    <t>Source title</t>
  </si>
  <si>
    <t>Volume</t>
  </si>
  <si>
    <t>Issue</t>
  </si>
  <si>
    <t>Art. No.</t>
  </si>
  <si>
    <t>Page start</t>
  </si>
  <si>
    <t>Page end</t>
  </si>
  <si>
    <t>Cited by</t>
  </si>
  <si>
    <t>DOI</t>
  </si>
  <si>
    <t>Link</t>
  </si>
  <si>
    <t>Document Type</t>
  </si>
  <si>
    <t>Publication Stage</t>
  </si>
  <si>
    <t>Open Access</t>
  </si>
  <si>
    <t>Source</t>
  </si>
  <si>
    <t>EID</t>
  </si>
  <si>
    <t>[Autofills] NOT IN PAPERS</t>
  </si>
  <si>
    <t>[Autofills] Is Duplicate?</t>
  </si>
  <si>
    <t>Stepin I.; Alonso J.M.; Catala A.; Pereira-Farina M.</t>
  </si>
  <si>
    <t>A Survey of Contrastive and Counterfactual Explanation Generation Methods for Explainable Artificial Intelligence</t>
  </si>
  <si>
    <t>IEEE Access</t>
  </si>
  <si>
    <t>10.1109/ACCESS.2021.3051315</t>
  </si>
  <si>
    <t>https://www.scopus.com/pages/publications/85099601493?origin=resultslist</t>
  </si>
  <si>
    <t>Review</t>
  </si>
  <si>
    <t>Final</t>
  </si>
  <si>
    <t>All Open Access; Gold Open Access; Green Open Access</t>
  </si>
  <si>
    <t>Scopus</t>
  </si>
  <si>
    <t>2-s2.0-85099601493</t>
  </si>
  <si>
    <t>Nazar M.; Alam M.M.; Yafi E.; Su'Ud M.M.</t>
  </si>
  <si>
    <t>A Systematic Review of Human-Computer Interaction and Explainable Artificial Intelligence in Healthcare with Artificial Intelligence Techniques</t>
  </si>
  <si>
    <t>10.1109/ACCESS.2021.3127881</t>
  </si>
  <si>
    <t>https://www.scopus.com/pages/publications/85119430656?origin=resultslist</t>
  </si>
  <si>
    <t>2-s2.0-85119430656</t>
  </si>
  <si>
    <t>Young A.T.; Amara D.; Bhattacharya A.; Wei M.L.</t>
  </si>
  <si>
    <t>Patient and general public attitudes towards clinical artificial intelligence: a mixed methods systematic review</t>
  </si>
  <si>
    <t>The Lancet Digital Health</t>
  </si>
  <si>
    <t>e599</t>
  </si>
  <si>
    <t>e611</t>
  </si>
  <si>
    <t>10.1016/S2589-7500(21)00132-1</t>
  </si>
  <si>
    <t>https://www.scopus.com/pages/publications/85115041953?origin=resultslist</t>
  </si>
  <si>
    <t>All Open Access; Gold Open Access</t>
  </si>
  <si>
    <t>2-s2.0-85115041953</t>
  </si>
  <si>
    <t>Rashid A.B.; Kausik M.A.K.</t>
  </si>
  <si>
    <t>AI revolutionizing industries worldwide: A comprehensive overview of its diverse applications</t>
  </si>
  <si>
    <t>Hybrid Advances</t>
  </si>
  <si>
    <t>10.1016/j.hybadv.2024.100277</t>
  </si>
  <si>
    <t>https://www.scopus.com/pages/publications/85204730281?origin=resultslist</t>
  </si>
  <si>
    <t>2-s2.0-85204730281</t>
  </si>
  <si>
    <t>Tong S.; Jia N.; Luo X.; Fang Z.</t>
  </si>
  <si>
    <t>The Janus face of artificial intelligence feedback: Deployment versus disclosure effects on employee performance</t>
  </si>
  <si>
    <t>Strategic Management Journal</t>
  </si>
  <si>
    <t>10.1002/smj.3322</t>
  </si>
  <si>
    <t>https://www.scopus.com/pages/publications/85109705359?origin=resultslist</t>
  </si>
  <si>
    <t>Article</t>
  </si>
  <si>
    <t>All Open Access; Hybrid Gold Open Access</t>
  </si>
  <si>
    <t>2-s2.0-85109705359</t>
  </si>
  <si>
    <t>Zhang T.; Tao D.; Qu X.; Zhang X.; Zeng J.; Zhu H.; Zhu H.</t>
  </si>
  <si>
    <t>Automated vehicle acceptance in China: Social influence and initial trust are key determinants</t>
  </si>
  <si>
    <t>Transportation Research Part C: Emerging Technologies</t>
  </si>
  <si>
    <t>10.1016/j.trc.2020.01.027</t>
  </si>
  <si>
    <t>https://www.scopus.com/pages/publications/85078934939?origin=resultslist</t>
  </si>
  <si>
    <t>2-s2.0-85078934939</t>
  </si>
  <si>
    <t>Tussyadiah I.P.; Zach F.J.; Wang J.</t>
  </si>
  <si>
    <t>Do travelers trust intelligent service robots?</t>
  </si>
  <si>
    <t>Annals of Tourism Research</t>
  </si>
  <si>
    <t>10.1016/j.annals.2020.102886</t>
  </si>
  <si>
    <t>https://www.scopus.com/pages/publications/85079861440?origin=resultslist</t>
  </si>
  <si>
    <t>2-s2.0-85079861440</t>
  </si>
  <si>
    <t>Rudin C.; Chen C.; Chen Z.; Huang H.; Semenova L.; Zhong C.</t>
  </si>
  <si>
    <t>Interpretable machine learning: Fundamental principles and 10 grand challenges</t>
  </si>
  <si>
    <t>Statistics Surveys</t>
  </si>
  <si>
    <t>10.1214/21-SS133</t>
  </si>
  <si>
    <t>https://www.scopus.com/pages/publications/85125573696?origin=resultslist</t>
  </si>
  <si>
    <t>2-s2.0-85125573696</t>
  </si>
  <si>
    <t>Asan O.; Bayrak A.E.; Choudhury A.</t>
  </si>
  <si>
    <t>Artificial Intelligence and Human Trust in Healthcare: Focus on Clinicians</t>
  </si>
  <si>
    <t>Journal of Medical Internet Research</t>
  </si>
  <si>
    <t>e15154</t>
  </si>
  <si>
    <t>10.2196/15154</t>
  </si>
  <si>
    <t>https://www.scopus.com/pages/publications/85086727009?origin=resultslist</t>
  </si>
  <si>
    <t>2-s2.0-85086727009</t>
  </si>
  <si>
    <t>Hergeth S.; Lorenz L.; Vilimek R.; Krems J.F.</t>
  </si>
  <si>
    <t>Keep Your Scanners Peeled: Gaze Behavior as a Measure of Automation Trust during Highly Automated Driving</t>
  </si>
  <si>
    <t>Human Factors</t>
  </si>
  <si>
    <t>10.1177/0018720815625744</t>
  </si>
  <si>
    <t>https://www.scopus.com/pages/publications/84962910809?origin=resultslist</t>
  </si>
  <si>
    <t>2-s2.0-84962910809</t>
  </si>
  <si>
    <t>Honig S.; Oron-Gilad T.</t>
  </si>
  <si>
    <t>Understanding and resolving failures in human-robot interaction: Literature review and model development</t>
  </si>
  <si>
    <t>Frontiers in Psychology</t>
  </si>
  <si>
    <t>JUN</t>
  </si>
  <si>
    <t>10.3389/fpsyg.2018.00861</t>
  </si>
  <si>
    <t>https://www.scopus.com/pages/publications/85048531596?origin=resultslist</t>
  </si>
  <si>
    <t>2-s2.0-85048531596</t>
  </si>
  <si>
    <t>Carsten O.; Martens M.H.</t>
  </si>
  <si>
    <t>How can humans understand their automated cars? HMI principles, problems and solutions</t>
  </si>
  <si>
    <t>Cognition, Technology and Work</t>
  </si>
  <si>
    <t>10.1007/s10111-018-0484-0</t>
  </si>
  <si>
    <t>https://www.scopus.com/pages/publications/85046726952?origin=resultslist</t>
  </si>
  <si>
    <t>All Open Access; Green Open Access; Hybrid Gold Open Access</t>
  </si>
  <si>
    <t>2-s2.0-85046726952</t>
  </si>
  <si>
    <t>Vilone G.; Longo L.</t>
  </si>
  <si>
    <t>Notions of explainability and evaluation approaches for explainable artificial intelligence</t>
  </si>
  <si>
    <t>Information Fusion</t>
  </si>
  <si>
    <t>10.1016/j.inffus.2021.05.009</t>
  </si>
  <si>
    <t>https://www.scopus.com/pages/publications/85107637272?origin=resultslist</t>
  </si>
  <si>
    <t>2-s2.0-85107637272</t>
  </si>
  <si>
    <t>Pereira V.; Hadjielias E.; Christofi M.; Vrontis D.</t>
  </si>
  <si>
    <t>A systematic literature review on the impact of artificial intelligence on workplace outcomes: A multi-process perspective</t>
  </si>
  <si>
    <t>Human Resource Management Review</t>
  </si>
  <si>
    <t>10.1016/j.hrmr.2021.100857</t>
  </si>
  <si>
    <t>https://www.scopus.com/pages/publications/85114687655?origin=resultslist</t>
  </si>
  <si>
    <t>All Open Access; Green Open Access</t>
  </si>
  <si>
    <t>2-s2.0-85114687655</t>
  </si>
  <si>
    <t>Langer M.; Oster D.; Speith T.; Hermanns H.; Kästner L.; Schmidt E.; Sesing A.; Baum K.</t>
  </si>
  <si>
    <t>What do we want from Explainable Artificial Intelligence (XAI)? – A stakeholder perspective on XAI and a conceptual model guiding interdisciplinary XAI research</t>
  </si>
  <si>
    <t>Artificial Intelligence</t>
  </si>
  <si>
    <t>10.1016/j.artint.2021.103473</t>
  </si>
  <si>
    <t>https://www.scopus.com/pages/publications/85101531468?origin=resultslist</t>
  </si>
  <si>
    <t>All Open Access; Bronze Open Access; Green Open Access</t>
  </si>
  <si>
    <t>2-s2.0-85101531468</t>
  </si>
  <si>
    <t>Chalmers D.; MacKenzie N.G.; Carter S.</t>
  </si>
  <si>
    <t>Artificial Intelligence and Entrepreneurship: Implications for Venture Creation in the Fourth Industrial Revolution</t>
  </si>
  <si>
    <t>Entrepreneurship: Theory and Practice</t>
  </si>
  <si>
    <t>10.1177/1042258720934581</t>
  </si>
  <si>
    <t>https://www.scopus.com/pages/publications/85087930775?origin=resultslist</t>
  </si>
  <si>
    <t>2-s2.0-85087930775</t>
  </si>
  <si>
    <t>Chowdhury S.; Budhwar P.; Dey P.K.; Joel-Edgar S.; Abadie A.</t>
  </si>
  <si>
    <t>AI-employee collaboration and business performance: Integrating knowledge-based view, socio-technical systems and organisational socialisation framework</t>
  </si>
  <si>
    <t>Journal of Business Research</t>
  </si>
  <si>
    <t>10.1016/j.jbusres.2022.01.069</t>
  </si>
  <si>
    <t>https://www.scopus.com/pages/publications/85124046364?origin=resultslist</t>
  </si>
  <si>
    <t>2-s2.0-85124046364</t>
  </si>
  <si>
    <t>Dellermann D.; Ebel P.; Söllner M.; Leimeister J.M.</t>
  </si>
  <si>
    <t>Hybrid Intelligence</t>
  </si>
  <si>
    <t>Business and Information Systems Engineering</t>
  </si>
  <si>
    <t>10.1007/s12599-019-00595-2</t>
  </si>
  <si>
    <t>https://www.scopus.com/pages/publications/85069455009?origin=resultslist</t>
  </si>
  <si>
    <t>2-s2.0-85069455009</t>
  </si>
  <si>
    <t>Man Tang P.; Koopman J.; McClean S.T.; Zhang J.H.; Hon Li C.; de Cremer D.; Lu Y.; Stewart Ng C.T.</t>
  </si>
  <si>
    <t>WHEN CONSCIENTIOUS EMPLOYEES MEET INTELLIGENT MACHINES: AN INTEGRATIVE APPROACH INSPIRED BY COMPLEMENTARITY THEORY AND ROLE THEORY</t>
  </si>
  <si>
    <t>Academy of Management Journal</t>
  </si>
  <si>
    <t>10.5465/AMJ.2020.1516</t>
  </si>
  <si>
    <t>https://www.scopus.com/pages/publications/85135124659?origin=resultslist</t>
  </si>
  <si>
    <t>2-s2.0-85135124659</t>
  </si>
  <si>
    <t>Mirbabaie M.; Brünker F.; Möllmann Frick N.R.J.; Stieglitz S.</t>
  </si>
  <si>
    <t>The rise of artificial intelligence – understanding the AI identity threat at the workplace</t>
  </si>
  <si>
    <t>Electronic Markets</t>
  </si>
  <si>
    <t>10.1007/s12525-021-00496-x</t>
  </si>
  <si>
    <t>https://www.scopus.com/pages/publications/85116415765?origin=resultslist</t>
  </si>
  <si>
    <t>2-s2.0-85116415765</t>
  </si>
  <si>
    <t>Bedué P.; Fritzsche A.</t>
  </si>
  <si>
    <t>Can we trust AI? An empirical investigation of trust requirements and guide to successful AI adoption</t>
  </si>
  <si>
    <t>Journal of Enterprise Information Management</t>
  </si>
  <si>
    <t>10.1108/JEIM-06-2020-0233</t>
  </si>
  <si>
    <t>https://www.scopus.com/pages/publications/85106282628?origin=resultslist</t>
  </si>
  <si>
    <t>2-s2.0-85106282628</t>
  </si>
  <si>
    <t>Parent-Rocheleau X.; Parker S.K.</t>
  </si>
  <si>
    <t>Algorithms as work designers: How algorithmic management influences the design of jobs</t>
  </si>
  <si>
    <t>10.1016/j.hrmr.2021.100838</t>
  </si>
  <si>
    <t>https://www.scopus.com/pages/publications/85105550128?origin=resultslist</t>
  </si>
  <si>
    <t>2-s2.0-85105550128</t>
  </si>
  <si>
    <t>Hayes B.; Shah J.A.</t>
  </si>
  <si>
    <t>Improving Robot Controller Transparency Through Autonomous Policy Explanation</t>
  </si>
  <si>
    <t>ACM/IEEE International Conference on Human-Robot Interaction</t>
  </si>
  <si>
    <t>Part F127194</t>
  </si>
  <si>
    <t>10.1145/2909824.3020233</t>
  </si>
  <si>
    <t>https://www.scopus.com/pages/publications/85021787797?origin=resultslist</t>
  </si>
  <si>
    <t>Conference paper</t>
  </si>
  <si>
    <t>2-s2.0-85021787797</t>
  </si>
  <si>
    <t>Dudley J.J.; Kristensson P.O.</t>
  </si>
  <si>
    <t>A review of user interface design for interactive machine learning</t>
  </si>
  <si>
    <t>ACM Transactions on Interactive Intelligent Systems</t>
  </si>
  <si>
    <t>10.1145/3185517</t>
  </si>
  <si>
    <t>https://www.scopus.com/pages/publications/85058625902?origin=resultslist</t>
  </si>
  <si>
    <t>2-s2.0-85058625902</t>
  </si>
  <si>
    <t>Chowdhury S.; Dey P.; Joel-Edgar S.; Bhattacharya S.; Rodriguez-Espindola O.; Abadie A.; Truong L.</t>
  </si>
  <si>
    <t>Unlocking the value of artificial intelligence in human resource management through AI capability framework</t>
  </si>
  <si>
    <t>10.1016/j.hrmr.2022.100899</t>
  </si>
  <si>
    <t>https://www.scopus.com/pages/publications/85127325455?origin=resultslist</t>
  </si>
  <si>
    <t>2-s2.0-85127325455</t>
  </si>
  <si>
    <t>Chiou E.K.; Lee J.D.</t>
  </si>
  <si>
    <t>Trusting Automation: Designing for Responsivity and Resilience</t>
  </si>
  <si>
    <t>10.1177/00187208211009995</t>
  </si>
  <si>
    <t>https://www.scopus.com/pages/publications/85104981249?origin=resultslist</t>
  </si>
  <si>
    <t>2-s2.0-85104981249</t>
  </si>
  <si>
    <t>Liu K.; Tao D.</t>
  </si>
  <si>
    <t>The roles of trust, personalization, loss of privacy, and anthropomorphism in public acceptance of smart healthcare services</t>
  </si>
  <si>
    <t>Computers in Human Behavior</t>
  </si>
  <si>
    <t>10.1016/j.chb.2021.107026</t>
  </si>
  <si>
    <t>https://www.scopus.com/pages/publications/85115048327?origin=resultslist</t>
  </si>
  <si>
    <t>2-s2.0-85115048327</t>
  </si>
  <si>
    <t>Yam K.C.; Tang P.M.; Jackson J.C.; Su R.; Gray K.</t>
  </si>
  <si>
    <t>The Rise of Robots Increases Job Insecurity and Maladaptive Workplace Behaviors: Multimethod Evidence</t>
  </si>
  <si>
    <t>Journal of Applied Psychology</t>
  </si>
  <si>
    <t>10.1037/apl0001045</t>
  </si>
  <si>
    <t>https://www.scopus.com/pages/publications/85140762473?origin=resultslist</t>
  </si>
  <si>
    <t>2-s2.0-85140762473</t>
  </si>
  <si>
    <t>Kohn S.C.; de Visser E.J.; Wiese E.; Lee Y.-C.; Shaw T.H.</t>
  </si>
  <si>
    <t>Measurement of Trust in Automation: A Narrative Review and Reference Guide</t>
  </si>
  <si>
    <t>10.3389/fpsyg.2021.604977</t>
  </si>
  <si>
    <t>https://www.scopus.com/pages/publications/85118576621?origin=resultslist</t>
  </si>
  <si>
    <t>2-s2.0-85118576621</t>
  </si>
  <si>
    <t>Hengstler M.; Enkel E.; Duelli S.</t>
  </si>
  <si>
    <t>Applied artificial intelligence and trust-The case of autonomous vehicles and medical assistance devices</t>
  </si>
  <si>
    <t>Technological Forecasting and Social Change</t>
  </si>
  <si>
    <t>10.1016/j.techfore.2015.12.014</t>
  </si>
  <si>
    <t>https://www.scopus.com/pages/publications/84957895151?origin=resultslist</t>
  </si>
  <si>
    <t>2-s2.0-84957895151</t>
  </si>
  <si>
    <t>Bach T.A.; Khan A.; Hallock H.; Beltrão G.; Sousa S.</t>
  </si>
  <si>
    <t>A Systematic Literature Review of User Trust in AI-Enabled Systems: An HCI Perspective</t>
  </si>
  <si>
    <t>International Journal of Human-Computer Interaction</t>
  </si>
  <si>
    <t>10.1080/10447318.2022.2138826</t>
  </si>
  <si>
    <t>https://www.scopus.com/pages/publications/85141953140?origin=resultslist</t>
  </si>
  <si>
    <t>2-s2.0-85141953140</t>
  </si>
  <si>
    <t>Sun W.; Bocchini P.; Davison B.D.</t>
  </si>
  <si>
    <t>Applications of artificial intelligence for disaster management</t>
  </si>
  <si>
    <t>Natural Hazards</t>
  </si>
  <si>
    <t>10.1007/s11069-020-04124-3</t>
  </si>
  <si>
    <t>https://www.scopus.com/pages/publications/85087516664?origin=resultslist</t>
  </si>
  <si>
    <t>2-s2.0-85087516664</t>
  </si>
  <si>
    <t>Glikson E.; Woolley A.W.</t>
  </si>
  <si>
    <t>Human trust in artificial intelligence: Review of empirical research</t>
  </si>
  <si>
    <t>Academy of Management Annals</t>
  </si>
  <si>
    <t>10.5465/annals.2018.0057</t>
  </si>
  <si>
    <t>https://www.scopus.com/pages/publications/85087295894?origin=resultslist</t>
  </si>
  <si>
    <t>2-s2.0-85087295894</t>
  </si>
  <si>
    <t>Xu Z.; Zhang K.; Min H.; Wang Z.; Zhao X.; Liu P.</t>
  </si>
  <si>
    <t>What drives people to accept automated vehicles? Findings from a field experiment</t>
  </si>
  <si>
    <t>10.1016/j.trc.2018.07.024</t>
  </si>
  <si>
    <t>https://www.scopus.com/pages/publications/85050653532?origin=resultslist</t>
  </si>
  <si>
    <t>2-s2.0-85050653532</t>
  </si>
  <si>
    <t>Haleem A.; Javaid M.; Asim Qadri M.; Pratap Singh R.; Suman R.</t>
  </si>
  <si>
    <t>Artificial intelligence (AI) applications for marketing: A literature-based study</t>
  </si>
  <si>
    <t>International Journal of Intelligent Networks</t>
  </si>
  <si>
    <t>10.1016/j.ijin.2022.08.005</t>
  </si>
  <si>
    <t>https://www.scopus.com/pages/publications/85137403442?origin=resultslist</t>
  </si>
  <si>
    <t>2-s2.0-85137403442</t>
  </si>
  <si>
    <t>Mathur M.B.; Reichling D.B.</t>
  </si>
  <si>
    <t>Navigating a social world with robot partners: A quantitative cartography of the Uncanny Valley</t>
  </si>
  <si>
    <t>Cognition</t>
  </si>
  <si>
    <t>10.1016/j.cognition.2015.09.008</t>
  </si>
  <si>
    <t>https://www.scopus.com/pages/publications/84942154696?origin=resultslist</t>
  </si>
  <si>
    <t>2-s2.0-84942154696</t>
  </si>
  <si>
    <t>Abdul A.; Vermeulen J.; Wang D.; Lim B.Y.; Kankanhalli M.</t>
  </si>
  <si>
    <t>Trends and trajectories for explainable, accountable and intelligible systems: An HCI research agenda</t>
  </si>
  <si>
    <t>Conference on Human Factors in Computing Systems - Proceedings</t>
  </si>
  <si>
    <t>2018-April</t>
  </si>
  <si>
    <t>10.1145/3173574.3174156</t>
  </si>
  <si>
    <t>https://www.scopus.com/pages/publications/85044532871?origin=resultslist</t>
  </si>
  <si>
    <t>2-s2.0-85044532871</t>
  </si>
  <si>
    <t>Zhang Y.; Xiong F.; Xie Y.; Fan X.; Gu H.</t>
  </si>
  <si>
    <t>The Impact of Artificial Intelligence and Blockchain on the Accounting Profession</t>
  </si>
  <si>
    <t>10.1109/ACCESS.2020.3000505</t>
  </si>
  <si>
    <t>https://www.scopus.com/pages/publications/85087542875?origin=resultslist</t>
  </si>
  <si>
    <t>2-s2.0-85087542875</t>
  </si>
  <si>
    <t>Nastjuk I.; Herrenkind B.; Marrone M.; Brendel A.B.; Kolbe L.M.</t>
  </si>
  <si>
    <t>What drives the acceptance of autonomous driving? An investigation of acceptance factors from an end-user's perspective</t>
  </si>
  <si>
    <t>10.1016/j.techfore.2020.120319</t>
  </si>
  <si>
    <t>https://www.scopus.com/pages/publications/85091505828?origin=resultslist</t>
  </si>
  <si>
    <t>2-s2.0-85091505828</t>
  </si>
  <si>
    <t>Kuziemski M.; Misuraca G.</t>
  </si>
  <si>
    <t>AI governance in the public sector: Three tales from the frontiers of automated decision-making in democratic settings</t>
  </si>
  <si>
    <t>Telecommunications Policy</t>
  </si>
  <si>
    <t>10.1016/j.telpol.2020.101976</t>
  </si>
  <si>
    <t>https://www.scopus.com/pages/publications/85084122224?origin=resultslist</t>
  </si>
  <si>
    <t>2-s2.0-85084122224</t>
  </si>
  <si>
    <t>Ruff L.; Kauffmann J.R.; Vandermeulen R.A.; Montavon G.; Samek W.; Kloft M.; Dietterich T.G.; Muller K.-R.</t>
  </si>
  <si>
    <t>A Unifying Review of Deep and Shallow Anomaly Detection</t>
  </si>
  <si>
    <t>Proceedings of the IEEE</t>
  </si>
  <si>
    <t>10.1109/JPROC.2021.3052449</t>
  </si>
  <si>
    <t>https://www.scopus.com/pages/publications/85100863824?origin=resultslist</t>
  </si>
  <si>
    <t>2-s2.0-85100863824</t>
  </si>
  <si>
    <t>Haefner N.; Wincent J.; Parida V.; Gassmann O.</t>
  </si>
  <si>
    <t>Artificial intelligence and innovation management: A review, framework, and research agenda✰</t>
  </si>
  <si>
    <t>10.1016/j.techfore.2020.120392</t>
  </si>
  <si>
    <t>https://www.scopus.com/pages/publications/85092748091?origin=resultslist</t>
  </si>
  <si>
    <t>2-s2.0-85092748091</t>
  </si>
  <si>
    <t>Jacovi A.; Marasović A.; Miller T.; Goldberg Y.</t>
  </si>
  <si>
    <t>Formalizing trust in artificial intelligence: Prerequisites, causes and goals of human trust in AI</t>
  </si>
  <si>
    <t>FAccT 2021 - Proceedings of the 2021 ACM Conference on Fairness, Accountability, and Transparency</t>
  </si>
  <si>
    <t>10.1145/3442188.3445923</t>
  </si>
  <si>
    <t>https://www.scopus.com/pages/publications/85102636939?origin=resultslist</t>
  </si>
  <si>
    <t>2-s2.0-85102636939</t>
  </si>
  <si>
    <t>Robinette P.; Li W.; Allen R.; Howard A.M.; Wagner A.R.</t>
  </si>
  <si>
    <t>Overtrust of robots in emergency evacuation scenarios</t>
  </si>
  <si>
    <t>2016-April</t>
  </si>
  <si>
    <t>10.1109/HRI.2016.7451740</t>
  </si>
  <si>
    <t>https://www.scopus.com/pages/publications/84964846793?origin=resultslist</t>
  </si>
  <si>
    <t>2-s2.0-84964846793</t>
  </si>
  <si>
    <t>Chi O.H.; Jia S.; Li Y.; Gursoy D.</t>
  </si>
  <si>
    <t>Developing a formative scale to measure consumers’ trust toward interaction with artificially intelligent (AI) social robots in service delivery</t>
  </si>
  <si>
    <t>10.1016/j.chb.2021.106700</t>
  </si>
  <si>
    <t>https://www.scopus.com/pages/publications/85099979829?origin=resultslist</t>
  </si>
  <si>
    <t>2-s2.0-85099979829</t>
  </si>
  <si>
    <t>Kaur D.; Uslu S.; Rittichier K.J.; Durresi A.</t>
  </si>
  <si>
    <t>Trustworthy Artificial Intelligence: A Review</t>
  </si>
  <si>
    <t>ACM Computing Surveys</t>
  </si>
  <si>
    <t>10.1145/3491209</t>
  </si>
  <si>
    <t>https://www.scopus.com/pages/publications/85128190943?origin=resultslist</t>
  </si>
  <si>
    <t>2-s2.0-85128190943</t>
  </si>
  <si>
    <t>König M.; Neumayr L.</t>
  </si>
  <si>
    <t>Users’ resistance towards radical innovations: The case of the self-driving car</t>
  </si>
  <si>
    <t>Transportation Research Part F: Traffic Psychology and Behaviour</t>
  </si>
  <si>
    <t>10.1016/j.trf.2016.10.013</t>
  </si>
  <si>
    <t>https://www.scopus.com/pages/publications/84995549556?origin=resultslist</t>
  </si>
  <si>
    <t>2-s2.0-84995549556</t>
  </si>
  <si>
    <t>Albahri A.S.; Duhaim A.M.; Fadhel M.A.; Alnoor A.; Baqer N.S.; Alzubaidi L.; Albahri O.S.; Alamoodi A.H.; Bai J.; Salhi A.; Santamaría J.; Ouyang C.; Gupta A.; Gu Y.; Deveci M.</t>
  </si>
  <si>
    <t>A systematic review of trustworthy and explainable artificial intelligence in healthcare: Assessment of quality, bias risk, and data fusion</t>
  </si>
  <si>
    <t>10.1016/j.inffus.2023.03.008</t>
  </si>
  <si>
    <t>https://www.scopus.com/pages/publications/85151265419?origin=resultslist</t>
  </si>
  <si>
    <t>2-s2.0-85151265419</t>
  </si>
  <si>
    <t>Laux J.; Wachter S.; Mittelstadt B.</t>
  </si>
  <si>
    <t>Trustworthy artificial intelligence and the European Union AI act: On the conflation of trustworthiness and acceptability of risk</t>
  </si>
  <si>
    <t>Regulation and Governance</t>
  </si>
  <si>
    <t>10.1111/rego.12512</t>
  </si>
  <si>
    <t>https://www.scopus.com/pages/publications/85147512970?origin=resultslist</t>
  </si>
  <si>
    <t>2-s2.0-85147512970</t>
  </si>
  <si>
    <t>Hancock P.A.; Nourbakhsh I.; Stewart J.</t>
  </si>
  <si>
    <t>On the future of transportation in an era of automated and autonomous vehicles</t>
  </si>
  <si>
    <t>Proceedings of the National Academy of Sciences of the United States of America</t>
  </si>
  <si>
    <t>10.1073/pnas.1805770115</t>
  </si>
  <si>
    <t>https://www.scopus.com/pages/publications/85064355391?origin=resultslist</t>
  </si>
  <si>
    <t>All Open Access; Bronze Open Access</t>
  </si>
  <si>
    <t>2-s2.0-85064355391</t>
  </si>
  <si>
    <t>Ozmen Garibay O.; Winslow B.; Andolina S.; Antona M.; Bodenschatz A.; Coursaris C.; Falco G.; Fiore S.M.; Garibay I.; Grieman K.; Havens J.C.; Jirotka M.; Kacorri H.; Karwowski W.; Kider J.; Konstan J.; Koon S.; Lopez-Gonzalez M.; Maifeld-Carucci I.; McGregor S.; Salvendy G.; Shneiderman B.; Stephanidis C.; Strobel C.; Ten Holter C.; Xu W.</t>
  </si>
  <si>
    <t>Six Human-Centered Artificial Intelligence Grand Challenges</t>
  </si>
  <si>
    <t>10.1080/10447318.2022.2153320</t>
  </si>
  <si>
    <t>https://www.scopus.com/pages/publications/85145502740?origin=resultslist</t>
  </si>
  <si>
    <t>2-s2.0-85145502740</t>
  </si>
  <si>
    <t>Hermann E.</t>
  </si>
  <si>
    <t>Leveraging Artificial Intelligence in Marketing for Social Good—An Ethical Perspective</t>
  </si>
  <si>
    <t>Journal of Business Ethics</t>
  </si>
  <si>
    <t>10.1007/s10551-021-04843-y</t>
  </si>
  <si>
    <t>https://www.scopus.com/pages/publications/85106476454?origin=resultslist</t>
  </si>
  <si>
    <t>2-s2.0-85106476454</t>
  </si>
  <si>
    <t>Katzenbach C.; Ulbricht L.</t>
  </si>
  <si>
    <t>Algorithmic governance</t>
  </si>
  <si>
    <t>Internet Policy Review</t>
  </si>
  <si>
    <t>10.14763/2019.4.1424</t>
  </si>
  <si>
    <t>https://www.scopus.com/pages/publications/85077848137?origin=resultslist</t>
  </si>
  <si>
    <t>2-s2.0-85077848137</t>
  </si>
  <si>
    <t>Omrani N.; Rivieccio G.; Fiore U.; Schiavone F.; Agreda S.G.</t>
  </si>
  <si>
    <t>To trust or not to trust? An assessment of trust in AI-based systems: Concerns, ethics and contexts</t>
  </si>
  <si>
    <t>10.1016/j.techfore.2022.121763</t>
  </si>
  <si>
    <t>https://www.scopus.com/pages/publications/85130877872?origin=resultslist</t>
  </si>
  <si>
    <t>2-s2.0-85130877872</t>
  </si>
  <si>
    <t>Toreini E.; Aitken M.; Coopamootoo K.; Elliott K.; Zelaya C.G.; van Moorsel A.</t>
  </si>
  <si>
    <t>The relationship between trust in AI and trustworthy machine learning technologies</t>
  </si>
  <si>
    <t>FAT* 2020 - Proceedings of the 2020 Conference on Fairness, Accountability, and Transparency</t>
  </si>
  <si>
    <t>10.1145/3351095.3372834</t>
  </si>
  <si>
    <t>https://www.scopus.com/pages/publications/85079632241?origin=resultslist</t>
  </si>
  <si>
    <t>2-s2.0-85079632241</t>
  </si>
  <si>
    <t>Choung H.; David P.; Ross A.</t>
  </si>
  <si>
    <t>Trust in AI and Its Role in the Acceptance of AI Technologies</t>
  </si>
  <si>
    <t>10.1080/10447318.2022.2050543</t>
  </si>
  <si>
    <t>https://www.scopus.com/pages/publications/85129401047?origin=resultslist</t>
  </si>
  <si>
    <t>2-s2.0-85129401047</t>
  </si>
  <si>
    <t>Dixit V.V.; Chand S.; Nair D.J.</t>
  </si>
  <si>
    <t>Autonomous vehicles: Disengagements, accidents and reaction times</t>
  </si>
  <si>
    <t>PLoS ONE</t>
  </si>
  <si>
    <t>e0168054</t>
  </si>
  <si>
    <t>10.1371/journal.pone.0168054</t>
  </si>
  <si>
    <t>https://www.scopus.com/pages/publications/85006900493?origin=resultslist</t>
  </si>
  <si>
    <t>2-s2.0-85006900493</t>
  </si>
  <si>
    <t>Jing P.; Xu G.; Chen Y.; Shi Y.; Zhan F.</t>
  </si>
  <si>
    <t>The determinants behind the acceptance of autonomous vehicles: A systematic review</t>
  </si>
  <si>
    <t>Sustainability (Switzerland)</t>
  </si>
  <si>
    <t>10.3390/su12051719</t>
  </si>
  <si>
    <t>https://www.scopus.com/pages/publications/85082878572?origin=resultslist</t>
  </si>
  <si>
    <t>2-s2.0-85082878572</t>
  </si>
  <si>
    <t>Zhang J.; Zhang Z.-M.</t>
  </si>
  <si>
    <t>Ethics and governance of trustworthy medical artificial intelligence</t>
  </si>
  <si>
    <t>BMC Medical Informatics and Decision Making</t>
  </si>
  <si>
    <t>10.1186/s12911-023-02103-9</t>
  </si>
  <si>
    <t>https://www.scopus.com/pages/publications/85146278182?origin=resultslist</t>
  </si>
  <si>
    <t>2-s2.0-85146278182</t>
  </si>
  <si>
    <t>Zirar A.; Ali S.I.; Islam N.</t>
  </si>
  <si>
    <t>Worker and workplace Artificial Intelligence (AI) coexistence: Emerging themes and research agenda</t>
  </si>
  <si>
    <t>Technovation</t>
  </si>
  <si>
    <t>10.1016/j.technovation.2023.102747</t>
  </si>
  <si>
    <t>https://www.scopus.com/pages/publications/85150032477?origin=resultslist</t>
  </si>
  <si>
    <t>2-s2.0-85150032477</t>
  </si>
  <si>
    <t>Jarrahi M.H.; Newlands G.; Lee M.K.; Wolf C.T.; Kinder E.; Sutherland W.</t>
  </si>
  <si>
    <t>Algorithmic management in a work context</t>
  </si>
  <si>
    <t>Big Data and Society</t>
  </si>
  <si>
    <t>10.1177/20539517211020332</t>
  </si>
  <si>
    <t>https://www.scopus.com/pages/publications/85109319306?origin=resultslist</t>
  </si>
  <si>
    <t>2-s2.0-85109319306</t>
  </si>
  <si>
    <t>Hasan R.; Shams R.; Rahman M.</t>
  </si>
  <si>
    <t>Consumer trust and perceived risk for voice-controlled artificial intelligence: The case of Siri</t>
  </si>
  <si>
    <t>10.1016/j.jbusres.2020.12.012</t>
  </si>
  <si>
    <t>https://www.scopus.com/pages/publications/85098163651?origin=resultslist</t>
  </si>
  <si>
    <t>2-s2.0-85098163651</t>
  </si>
  <si>
    <t>Suresh H.; Guttag J.</t>
  </si>
  <si>
    <t>A Framework for Understanding Sources of Harm throughout the Machine Learning Life Cycle</t>
  </si>
  <si>
    <t>ACM International Conference Proceeding Series</t>
  </si>
  <si>
    <t>10.1145/3465416.3483305</t>
  </si>
  <si>
    <t>https://www.scopus.com/pages/publications/85119301669?origin=resultslist</t>
  </si>
  <si>
    <t>2-s2.0-85119301669</t>
  </si>
  <si>
    <t>de Visser E.J.; Peeters M.M.M.; Jung M.F.; Kohn S.; Shaw T.H.; Pak R.; Neerincx M.A.</t>
  </si>
  <si>
    <t>Towards a Theory of Longitudinal Trust Calibration in Human–Robot Teams</t>
  </si>
  <si>
    <t>International Journal of Social Robotics</t>
  </si>
  <si>
    <t>10.1007/s12369-019-00596-x</t>
  </si>
  <si>
    <t>https://www.scopus.com/pages/publications/85084924592?origin=resultslist</t>
  </si>
  <si>
    <t>2-s2.0-85084924592</t>
  </si>
  <si>
    <t>Park S.</t>
  </si>
  <si>
    <t>Multifaceted trust in tourism service robots</t>
  </si>
  <si>
    <t>10.1016/j.annals.2020.102888</t>
  </si>
  <si>
    <t>https://www.scopus.com/pages/publications/85080112789?origin=resultslist</t>
  </si>
  <si>
    <t>2-s2.0-85080112789</t>
  </si>
  <si>
    <t>Zhang Y.; Vera Liao Q.; Bellamy R.K.E.</t>
  </si>
  <si>
    <t>Efect of confidence and explanation on accuracy and trust calibration in AI-assisted decision making</t>
  </si>
  <si>
    <t>10.1145/3351095.3372852</t>
  </si>
  <si>
    <t>https://www.scopus.com/pages/publications/85079608746?origin=resultslist</t>
  </si>
  <si>
    <t>2-s2.0-85079608746</t>
  </si>
  <si>
    <t>Ameen N.; Tarhini A.; Reppel A.; Anand A.</t>
  </si>
  <si>
    <t>Customer experiences in the age of artificial intelligence</t>
  </si>
  <si>
    <t>10.1016/j.chb.2020.106548</t>
  </si>
  <si>
    <t>https://www.scopus.com/pages/publications/85090737455?origin=resultslist</t>
  </si>
  <si>
    <t>2-s2.0-85090737455</t>
  </si>
  <si>
    <t>Siau K.; Wang W.</t>
  </si>
  <si>
    <t>Artificial intelligence (AI) Ethics: Ethics of AI and ethical AI</t>
  </si>
  <si>
    <t>Journal of Database Management</t>
  </si>
  <si>
    <t>10.4018/JDM.2020040105</t>
  </si>
  <si>
    <t>https://www.scopus.com/pages/publications/85097225749?origin=resultslist</t>
  </si>
  <si>
    <t>2-s2.0-85097225749</t>
  </si>
  <si>
    <t>Habbal A.; Ali M.K.; Abuzaraida M.A.</t>
  </si>
  <si>
    <t>Artificial Intelligence Trust, Risk and Security Management (AI TRiSM): Frameworks, applications, challenges and future research directions</t>
  </si>
  <si>
    <t>Expert Systems with Applications</t>
  </si>
  <si>
    <t>10.1016/j.eswa.2023.122442</t>
  </si>
  <si>
    <t>https://www.scopus.com/pages/publications/85179498220?origin=resultslist</t>
  </si>
  <si>
    <t>2-s2.0-85179498220</t>
  </si>
  <si>
    <t>Vasconcelos H.; Jörke M.; Grunde-Mclaughlin M.; Gerstenberg T.; Bernstein M.S.; Krishna R.</t>
  </si>
  <si>
    <t>Explanations Can Reduce Overreliance on AI Systems During Decision-Making</t>
  </si>
  <si>
    <t>Proceedings of the ACM on Human-Computer Interaction</t>
  </si>
  <si>
    <t>CSCW1</t>
  </si>
  <si>
    <t>10.1145/3579605</t>
  </si>
  <si>
    <t>https://www.scopus.com/pages/publications/85153706246?origin=resultslist</t>
  </si>
  <si>
    <t>2-s2.0-85153706246</t>
  </si>
  <si>
    <t>Buçinca Z.; Lin P.; Gajos K.Z.; Glassman E.L.</t>
  </si>
  <si>
    <t>Proxy tasks and subjective measures can be misleading in evaluating explainable AI systems</t>
  </si>
  <si>
    <t>International Conference on Intelligent User Interfaces, Proceedings IUI</t>
  </si>
  <si>
    <t>10.1145/3377325.3377498</t>
  </si>
  <si>
    <t>https://www.scopus.com/pages/publications/85082481569?origin=resultslist</t>
  </si>
  <si>
    <t>2-s2.0-85082481569</t>
  </si>
  <si>
    <t>Saeed W.; Omlin C.</t>
  </si>
  <si>
    <t>Explainable AI (XAI): A systematic meta-survey of current challenges and future opportunities</t>
  </si>
  <si>
    <t>Knowledge-Based Systems</t>
  </si>
  <si>
    <t>10.1016/j.knosys.2023.110273</t>
  </si>
  <si>
    <t>https://www.scopus.com/pages/publications/85146268490?origin=resultslist</t>
  </si>
  <si>
    <t>2-s2.0-85146268490</t>
  </si>
  <si>
    <t>Mariani M.M.; Perez-Vega R.; Wirtz J.</t>
  </si>
  <si>
    <t>AI in marketing, consumer research and psychology: A systematic literature review and research agenda</t>
  </si>
  <si>
    <t>Psychology and Marketing</t>
  </si>
  <si>
    <t>10.1002/mar.21619</t>
  </si>
  <si>
    <t>https://www.scopus.com/pages/publications/85120872880?origin=resultslist</t>
  </si>
  <si>
    <t>2-s2.0-85120872880</t>
  </si>
  <si>
    <t>Lee M.K.</t>
  </si>
  <si>
    <t>Understanding perception of algorithmic decisions: Fairness, trust, and emotion in response to algorithmic management</t>
  </si>
  <si>
    <t>10.1177/2053951718756684</t>
  </si>
  <si>
    <t>https://www.scopus.com/pages/publications/85056605201?origin=resultslist</t>
  </si>
  <si>
    <t>2-s2.0-85056605201</t>
  </si>
  <si>
    <t>Gama F.; Magistretti S.</t>
  </si>
  <si>
    <t>Artificial intelligence in innovation management: A review of innovation capabilities and a taxonomy of AI applications</t>
  </si>
  <si>
    <t>Journal of Product Innovation Management</t>
  </si>
  <si>
    <t>10.1111/jpim.12698</t>
  </si>
  <si>
    <t>https://www.scopus.com/pages/publications/85172167777?origin=resultslist</t>
  </si>
  <si>
    <t>2-s2.0-85172167777</t>
  </si>
  <si>
    <t>Choudhury A.; Shamszare H.</t>
  </si>
  <si>
    <t>Investigating the Impact of User Trust on the Adoption and Use of ChatGPT: Survey Analysis</t>
  </si>
  <si>
    <t>e47184</t>
  </si>
  <si>
    <t>10.2196/47184</t>
  </si>
  <si>
    <t>https://www.scopus.com/pages/publications/85159924829?origin=resultslist</t>
  </si>
  <si>
    <t>2-s2.0-85159924829</t>
  </si>
  <si>
    <t>Aoki N.</t>
  </si>
  <si>
    <t>An experimental study of public trust in AI chatbots in the public sector</t>
  </si>
  <si>
    <t>Government Information Quarterly</t>
  </si>
  <si>
    <t>10.1016/j.giq.2020.101490</t>
  </si>
  <si>
    <t>https://www.scopus.com/pages/publications/85089530712?origin=resultslist</t>
  </si>
  <si>
    <t>2-s2.0-85089530712</t>
  </si>
  <si>
    <t>Buçinca Z.; Malaya M.B.; Gajos K.Z.</t>
  </si>
  <si>
    <t>To Trust or to Think: Cognitive Forcing Functions Can Reduce Overreliance on AI in AI-assisted Decision-making</t>
  </si>
  <si>
    <t>10.1145/3449287</t>
  </si>
  <si>
    <t>https://www.scopus.com/pages/publications/85115723507?origin=resultslist</t>
  </si>
  <si>
    <t>2-s2.0-85115723507</t>
  </si>
  <si>
    <t>Spinner T.; Schlegel U.; Schäfer H.; El-Assady M.</t>
  </si>
  <si>
    <t>ExplAIner: A Visual Analytics Framework for Interactive and Explainable Machine Learning</t>
  </si>
  <si>
    <t>IEEE Transactions on Visualization and Computer Graphics</t>
  </si>
  <si>
    <t>10.1109/TVCG.2019.2934629</t>
  </si>
  <si>
    <t>https://www.scopus.com/pages/publications/85075593782?origin=resultslist</t>
  </si>
  <si>
    <t>2-s2.0-85075593782</t>
  </si>
  <si>
    <t>Rudolph C.W.; Allan B.; Clark M.; Hertel G.; Hirschi A.; Kunze F.; Shockley K.; Shoss M.; Sonnentag S.; Zacher H.</t>
  </si>
  <si>
    <t>Pandemics: Implications for research and practice in industrial and organizational psychology</t>
  </si>
  <si>
    <t>Industrial and Organizational Psychology</t>
  </si>
  <si>
    <t>10.1017/iop.2020.48</t>
  </si>
  <si>
    <t>https://www.scopus.com/pages/publications/85106604957?origin=resultslist</t>
  </si>
  <si>
    <t>2-s2.0-85106604957</t>
  </si>
  <si>
    <t>Lai V.; Tan C.</t>
  </si>
  <si>
    <t>On human predictions with explanations and predictions of machine learning models: A case study on deception detection</t>
  </si>
  <si>
    <t>FAT* 2019 - Proceedings of the 2019 Conference on Fairness, Accountability, and Transparency</t>
  </si>
  <si>
    <t>10.1145/3287560.3287590</t>
  </si>
  <si>
    <t>https://www.scopus.com/pages/publications/85061781028?origin=resultslist</t>
  </si>
  <si>
    <t>2-s2.0-85061781028</t>
  </si>
  <si>
    <t>Schepman A.; Rodway P.</t>
  </si>
  <si>
    <t>Initial validation of the general attitudes towards Artificial Intelligence Scale</t>
  </si>
  <si>
    <t>Computers in Human Behavior Reports</t>
  </si>
  <si>
    <t>10.1016/j.chbr.2020.100014</t>
  </si>
  <si>
    <t>https://www.scopus.com/pages/publications/85096303826?origin=resultslist</t>
  </si>
  <si>
    <t>2-s2.0-85096303826</t>
  </si>
  <si>
    <t>de Visser E.J.; Pak R.; Shaw T.H.</t>
  </si>
  <si>
    <t>From ‘automation’ to ‘autonomy’: the importance of trust repair in human–machine interaction</t>
  </si>
  <si>
    <t>Ergonomics</t>
  </si>
  <si>
    <t>10.1080/00140139.2018.1457725</t>
  </si>
  <si>
    <t>https://www.scopus.com/pages/publications/85045104296?origin=resultslist</t>
  </si>
  <si>
    <t>2-s2.0-85045104296</t>
  </si>
  <si>
    <t>Kaplan A.D.; Kessler T.T.; Brill J.C.; Hancock P.A.</t>
  </si>
  <si>
    <t>Trust in Artificial Intelligence: Meta-Analytic Findings</t>
  </si>
  <si>
    <t>10.1177/00187208211013988</t>
  </si>
  <si>
    <t>https://www.scopus.com/pages/publications/85106720283?origin=resultslist</t>
  </si>
  <si>
    <t>2-s2.0-85106720283</t>
  </si>
  <si>
    <t>Kim N.J.; Kim M.K.</t>
  </si>
  <si>
    <t>Teacher’s Perceptions of Using an Artificial Intelligence-Based Educational Tool for Scientific Writing</t>
  </si>
  <si>
    <t>Frontiers in Education</t>
  </si>
  <si>
    <t>10.3389/feduc.2022.755914</t>
  </si>
  <si>
    <t>https://www.scopus.com/pages/publications/85128424819?origin=resultslist</t>
  </si>
  <si>
    <t>2-s2.0-85128424819</t>
  </si>
  <si>
    <t>Körber M.; Baseler E.; Bengler K.</t>
  </si>
  <si>
    <t>Introduction matters: Manipulating trust in automation and reliance in automated driving</t>
  </si>
  <si>
    <t>Applied Ergonomics</t>
  </si>
  <si>
    <t>10.1016/j.apergo.2017.07.006</t>
  </si>
  <si>
    <t>https://www.scopus.com/pages/publications/85029816073?origin=resultslist</t>
  </si>
  <si>
    <t>2-s2.0-85029816073</t>
  </si>
  <si>
    <t>Celik I.</t>
  </si>
  <si>
    <t>Towards Intelligent-TPACK: An empirical study on teachers’ professional knowledge to ethically integrate artificial intelligence (AI)-based tools into education</t>
  </si>
  <si>
    <t>10.1016/j.chb.2022.107468</t>
  </si>
  <si>
    <t>https://www.scopus.com/pages/publications/85137060930?origin=resultslist</t>
  </si>
  <si>
    <t>2-s2.0-85137060930</t>
  </si>
  <si>
    <t>Lebovitz S.; Lifshitz-Assaf H.; Levina N.</t>
  </si>
  <si>
    <t>To Engage or Not to Engage with AI for Critical Judgments: How Professionals Deal with Opacity When Using AI for Medical Diagnosis</t>
  </si>
  <si>
    <t>Organization Science</t>
  </si>
  <si>
    <t>10.1287/ORSC.2021.1549</t>
  </si>
  <si>
    <t>https://www.scopus.com/pages/publications/85125569707?origin=resultslist</t>
  </si>
  <si>
    <t>2-s2.0-85125569707</t>
  </si>
  <si>
    <t>Jiang Z.; Araki J.; Ding H.; Neubig G.</t>
  </si>
  <si>
    <t>How can we know when language models know? On the calibration of language models for question answering</t>
  </si>
  <si>
    <t>Transactions of the Association for Computational Linguistics</t>
  </si>
  <si>
    <t>10.1162/tacl_a_00407</t>
  </si>
  <si>
    <t>https://www.scopus.com/pages/publications/85119501865?origin=resultslist</t>
  </si>
  <si>
    <t>2-s2.0-85119501865</t>
  </si>
  <si>
    <t>Makarius E.E.; Mukherjee D.; Fox J.D.; Fox A.K.</t>
  </si>
  <si>
    <t>Rising with the machines: A sociotechnical framework for bringing artificial intelligence into the organization</t>
  </si>
  <si>
    <t>10.1016/j.jbusres.2020.07.045</t>
  </si>
  <si>
    <t>https://www.scopus.com/pages/publications/85089816705?origin=resultslist</t>
  </si>
  <si>
    <t>2-s2.0-85089816705</t>
  </si>
  <si>
    <t>Larson L.; DeChurch L.A.</t>
  </si>
  <si>
    <t>Leading teams in the digital age: Four perspectives on technology and what they mean for leading teams</t>
  </si>
  <si>
    <t>Leadership Quarterly</t>
  </si>
  <si>
    <t>10.1016/j.leaqua.2019.101377</t>
  </si>
  <si>
    <t>https://www.scopus.com/pages/publications/85077758620?origin=resultslist</t>
  </si>
  <si>
    <t>2-s2.0-85077758620</t>
  </si>
  <si>
    <t>Kelly S.; Kaye S.-A.; Oviedo-Trespalacios O.</t>
  </si>
  <si>
    <t>What factors contribute to the acceptance of artificial intelligence? A systematic review</t>
  </si>
  <si>
    <t>Telematics and Informatics</t>
  </si>
  <si>
    <t>10.1016/j.tele.2022.101925</t>
  </si>
  <si>
    <t>https://www.scopus.com/pages/publications/85144829011?origin=resultslist</t>
  </si>
  <si>
    <t>2-s2.0-85144829011</t>
  </si>
  <si>
    <t>Wang X.; Yin M.</t>
  </si>
  <si>
    <t>Are Explanations Helpful? A Comparative Study of the Effects of Explanations in AI-Assisted Decision-Making</t>
  </si>
  <si>
    <t>10.1145/3397481.3450650</t>
  </si>
  <si>
    <t>https://www.scopus.com/pages/publications/85104503567?origin=resultslist</t>
  </si>
  <si>
    <t>2-s2.0-85104503567</t>
  </si>
  <si>
    <t>Bansal G.; Nushi B.; Kamar E.; Weld D.S.; Lasecki W.S.; Horvitz E.</t>
  </si>
  <si>
    <t>Updates in human-ai teams: Understanding and addressing the performance/compatibility tradeoff</t>
  </si>
  <si>
    <t>33rd AAAI Conference on Artificial Intelligence, AAAI 2019, 31st Innovative Applications of Artificial Intelligence Conference, IAAI 2019 and the 9th AAAI Symposium on Educational Advances in Artificial Intelligence, EAAI 2019</t>
  </si>
  <si>
    <t>10.1609/aaai.v33i01.33012429</t>
  </si>
  <si>
    <t>https://www.scopus.com/pages/publications/85079599165?origin=resultslist</t>
  </si>
  <si>
    <t>2-s2.0-85079599165</t>
  </si>
  <si>
    <t>Rheu M.; Shin J.Y.; Peng W.; Huh-Yoo J.</t>
  </si>
  <si>
    <t>Systematic Review: Trust-Building Factors and Implications for Conversational Agent Design</t>
  </si>
  <si>
    <t>10.1080/10447318.2020.1807710</t>
  </si>
  <si>
    <t>https://www.scopus.com/pages/publications/85090125043?origin=resultslist</t>
  </si>
  <si>
    <t>2-s2.0-85090125043</t>
  </si>
  <si>
    <t>Vaccaro M.; Almaatouq A.; Malone T.</t>
  </si>
  <si>
    <t>When combinations of humans and AI are useful: A systematic review and meta-analysis</t>
  </si>
  <si>
    <t>Nature Human Behaviour</t>
  </si>
  <si>
    <t>10.1038/s41562-024-02024-1</t>
  </si>
  <si>
    <t>https://www.scopus.com/pages/publications/85207410244?origin=resultslist</t>
  </si>
  <si>
    <t>2-s2.0-85207410244</t>
  </si>
  <si>
    <t>Chiu T.K.F.; Xia Q.; Zhou X.; Chai C.S.; Cheng M.</t>
  </si>
  <si>
    <t>Systematic literature review on opportunities, challenges, and future research recommendations of artificial intelligence in education</t>
  </si>
  <si>
    <t>Computers and Education: Artificial Intelligence</t>
  </si>
  <si>
    <t>10.1016/j.caeai.2022.100118</t>
  </si>
  <si>
    <t>https://www.scopus.com/pages/publications/85144966908?origin=resultslist</t>
  </si>
  <si>
    <t>2-s2.0-85144966908</t>
  </si>
  <si>
    <t>Sacha D.; Senaratne H.; Kwon B.C.; Ellis G.; Keim D.A.</t>
  </si>
  <si>
    <t>The Role of Uncertainty, Awareness, and Trust in Visual Analytics</t>
  </si>
  <si>
    <t>10.1109/TVCG.2015.2467591</t>
  </si>
  <si>
    <t>https://www.scopus.com/pages/publications/84946595461?origin=resultslist</t>
  </si>
  <si>
    <t>2-s2.0-84946595461</t>
  </si>
  <si>
    <t>Choi S.; Jang Y.; Kim H.</t>
  </si>
  <si>
    <t>Influence of Pedagogical Beliefs and Perceived Trust on Teachers’ Acceptance of Educational Artificial Intelligence Tools</t>
  </si>
  <si>
    <t>10.1080/10447318.2022.2049145</t>
  </si>
  <si>
    <t>https://www.scopus.com/pages/publications/85129236620?origin=resultslist</t>
  </si>
  <si>
    <t>2-s2.0-85129236620</t>
  </si>
  <si>
    <t>Chen J.Y.C.; Lakhmani S.G.; Stowers K.; Selkowitz A.R.; Wright J.L.; Barnes M.</t>
  </si>
  <si>
    <t>Situation awareness-based agent transparency and human-autonomy teaming effectiveness</t>
  </si>
  <si>
    <t>Theoretical Issues in Ergonomics Science</t>
  </si>
  <si>
    <t>10.1080/1463922X.2017.1315750</t>
  </si>
  <si>
    <t>https://www.scopus.com/pages/publications/85042744985?origin=resultslist</t>
  </si>
  <si>
    <t>2-s2.0-85042744985</t>
  </si>
  <si>
    <t>Vaithilingam P.; Zhang T.; Glassman E.L.</t>
  </si>
  <si>
    <t>Expectation vs. Experience: Evaluating the Usability of Code Generation Tools Powered by Large Language Models</t>
  </si>
  <si>
    <t>10.1145/3491101.3519665</t>
  </si>
  <si>
    <t>https://www.scopus.com/pages/publications/85129746503?origin=resultslist</t>
  </si>
  <si>
    <t>2-s2.0-85129746503</t>
  </si>
  <si>
    <t>Dhagarra D.; Goswami M.; Kumar G.</t>
  </si>
  <si>
    <t>Impact of Trust and Privacy Concerns on Technology Acceptance in Healthcare: An Indian Perspective</t>
  </si>
  <si>
    <t>International Journal of Medical Informatics</t>
  </si>
  <si>
    <t>10.1016/j.ijmedinf.2020.104164</t>
  </si>
  <si>
    <t>https://www.scopus.com/pages/publications/85086764045?origin=resultslist</t>
  </si>
  <si>
    <t>2-s2.0-85086764045</t>
  </si>
  <si>
    <t>Binns R.; Van Kleek M.; Veale M.; Lyngs U.; Zhao J.; Shadbolt N.</t>
  </si>
  <si>
    <t>'It's reducing a human being to a percentage'; perceptions of justice in algorithmic decisions</t>
  </si>
  <si>
    <t>10.1145/3173574.3173951</t>
  </si>
  <si>
    <t>https://www.scopus.com/pages/publications/85046964604?origin=resultslist</t>
  </si>
  <si>
    <t>2-s2.0-85046964604</t>
  </si>
  <si>
    <t>Endsley M.R.</t>
  </si>
  <si>
    <t>Autonomous Driving Systems: A Preliminary Naturalistic Study of the Tesla Model S</t>
  </si>
  <si>
    <t>Journal of Cognitive Engineering and Decision Making</t>
  </si>
  <si>
    <t>10.1177/1555343417695197</t>
  </si>
  <si>
    <t>https://www.scopus.com/pages/publications/85026471986?origin=resultslist</t>
  </si>
  <si>
    <t>2-s2.0-85026471986</t>
  </si>
  <si>
    <t>Panagiotopoulos I.; Dimitrakopoulos G.</t>
  </si>
  <si>
    <t>An empirical investigation on consumers’ intentions towards autonomous driving</t>
  </si>
  <si>
    <t>10.1016/j.trc.2018.08.013</t>
  </si>
  <si>
    <t>https://www.scopus.com/pages/publications/85052921001?origin=resultslist</t>
  </si>
  <si>
    <t>2-s2.0-85052921001</t>
  </si>
  <si>
    <t>Eren B.A.</t>
  </si>
  <si>
    <t>Determinants of customer satisfaction in chatbot use: evidence from a banking application in Turkey</t>
  </si>
  <si>
    <t>International Journal of Bank Marketing</t>
  </si>
  <si>
    <t>10.1108/IJBM-02-2020-0056</t>
  </si>
  <si>
    <t>https://www.scopus.com/pages/publications/85100213119?origin=resultslist</t>
  </si>
  <si>
    <t>2-s2.0-85100213119</t>
  </si>
  <si>
    <t>Sheridan T.B.</t>
  </si>
  <si>
    <t>Human-Robot Interaction</t>
  </si>
  <si>
    <t>10.1177/0018720816644364</t>
  </si>
  <si>
    <t>https://www.scopus.com/pages/publications/84966661297?origin=resultslist</t>
  </si>
  <si>
    <t>2-s2.0-84966661297</t>
  </si>
  <si>
    <t>Celik I.; Dindar M.; Muukkonen H.; Järvelä S.</t>
  </si>
  <si>
    <t>The Promises and Challenges of Artificial Intelligence for Teachers: a Systematic Review of Research</t>
  </si>
  <si>
    <t>TechTrends</t>
  </si>
  <si>
    <t>10.1007/s11528-022-00715-y</t>
  </si>
  <si>
    <t>https://www.scopus.com/pages/publications/85127243644?origin=resultslist</t>
  </si>
  <si>
    <t>2-s2.0-85127243644</t>
  </si>
  <si>
    <t>Veale M.; Van Kleek M.; Binns R.</t>
  </si>
  <si>
    <t>Fairness and accountability design needs for algorithmic support in high-stakes public sector decision-making</t>
  </si>
  <si>
    <t>10.1145/3173574.3174014</t>
  </si>
  <si>
    <t>https://www.scopus.com/pages/publications/85046970166?origin=resultslist</t>
  </si>
  <si>
    <t>2-s2.0-85046970166</t>
  </si>
  <si>
    <t>Prahl A.; Van Swol L.</t>
  </si>
  <si>
    <t>Understanding algorithm aversion: When is advice from automation discounted?</t>
  </si>
  <si>
    <t>Journal of Forecasting</t>
  </si>
  <si>
    <t>10.1002/for.2464</t>
  </si>
  <si>
    <t>https://www.scopus.com/pages/publications/85016415876?origin=resultslist</t>
  </si>
  <si>
    <t>2-s2.0-85016415876</t>
  </si>
  <si>
    <t>Zhang B.; de Winter J.; Varotto S.; Happee R.; Martens M.</t>
  </si>
  <si>
    <t>Determinants of take-over time from automated driving: A meta-analysis of 129 studies</t>
  </si>
  <si>
    <t>10.1016/j.trf.2019.04.020</t>
  </si>
  <si>
    <t>https://www.scopus.com/pages/publications/85065739556?origin=resultslist</t>
  </si>
  <si>
    <t>2-s2.0-85065739556</t>
  </si>
  <si>
    <t>Thiebes S.; Lins S.; Sunyaev A.</t>
  </si>
  <si>
    <t>Trustworthy artificial intelligence</t>
  </si>
  <si>
    <t>10.1007/s12525-020-00441-4</t>
  </si>
  <si>
    <t>https://www.scopus.com/pages/publications/85091803788?origin=resultslist</t>
  </si>
  <si>
    <t>2-s2.0-85091803788</t>
  </si>
  <si>
    <t>From Here to Autonomy: Lessons Learned from Human-Automation Research</t>
  </si>
  <si>
    <t>10.1177/0018720816681350</t>
  </si>
  <si>
    <t>https://www.scopus.com/pages/publications/85011629132?origin=resultslist</t>
  </si>
  <si>
    <t>2-s2.0-85011629132</t>
  </si>
  <si>
    <t>The General Attitudes towards Artificial Intelligence Scale (GAAIS): Confirmatory Validation and Associations with Personality, Corporate Distrust, and General Trust</t>
  </si>
  <si>
    <t>10.1080/10447318.2022.2085400</t>
  </si>
  <si>
    <t>https://www.scopus.com/pages/publications/85131917975?origin=resultslist</t>
  </si>
  <si>
    <t>2-s2.0-85131917975</t>
  </si>
  <si>
    <t>Fügener A.; Grahl J.; Gupta A.; Ketter W.</t>
  </si>
  <si>
    <t>WIll humans-in-the-loop become borgs? merits and pitfalls of working with AI</t>
  </si>
  <si>
    <t>MIS Quarterly: Management Information Systems</t>
  </si>
  <si>
    <t>10.25300/MISQ/2021/16553</t>
  </si>
  <si>
    <t>https://www.scopus.com/pages/publications/85114684669?origin=resultslist</t>
  </si>
  <si>
    <t>2-s2.0-85114684669</t>
  </si>
  <si>
    <t>Ehsan U.; Liao Q.V.; Muller M.; Riedl M.O.; Weisz J.D.</t>
  </si>
  <si>
    <t>Expanding explainability: Towards social transparency in ai systems</t>
  </si>
  <si>
    <t>10.1145/3411764.3445188</t>
  </si>
  <si>
    <t>https://www.scopus.com/pages/publications/85106073891?origin=resultslist</t>
  </si>
  <si>
    <t>2-s2.0-85106073891</t>
  </si>
  <si>
    <t>Braganza A.; Chen W.; Canhoto A.; Sap S.</t>
  </si>
  <si>
    <t>Productive employment and decent work: The impact of AI adoption on psychological contracts, job engagement and employee trust</t>
  </si>
  <si>
    <t>10.1016/j.jbusres.2020.08.018</t>
  </si>
  <si>
    <t>https://www.scopus.com/pages/publications/85089516696?origin=resultslist</t>
  </si>
  <si>
    <t>2-s2.0-85089516696</t>
  </si>
  <si>
    <t>Jiang H.; Kim B.; Gupta M.; Guan M.Y.</t>
  </si>
  <si>
    <t>To trust or not to trust a classifier</t>
  </si>
  <si>
    <t>Advances in Neural Information Processing Systems</t>
  </si>
  <si>
    <t>2018-December</t>
  </si>
  <si>
    <t>https://www.scopus.com/pages/publications/85063928915?origin=resultslist</t>
  </si>
  <si>
    <t>2-s2.0-85063928915</t>
  </si>
  <si>
    <t>Richardson J.P.; Smith C.; Curtis S.; Watson S.; Zhu X.; Barry B.; Sharp R.R.</t>
  </si>
  <si>
    <t>Patient apprehensions about the use of artificial intelligence in healthcare</t>
  </si>
  <si>
    <t>npj Digital Medicine</t>
  </si>
  <si>
    <t>10.1038/s41746-021-00509-1</t>
  </si>
  <si>
    <t>https://www.scopus.com/pages/publications/85115351559?origin=resultslist</t>
  </si>
  <si>
    <t>2-s2.0-85115351559</t>
  </si>
  <si>
    <t>Parker S.K.; Grote G.</t>
  </si>
  <si>
    <t>Automation, Algorithms, and Beyond: Why Work Design Matters More Than Ever in a Digital World</t>
  </si>
  <si>
    <t>Applied Psychology</t>
  </si>
  <si>
    <t>10.1111/apps.12241</t>
  </si>
  <si>
    <t>https://www.scopus.com/pages/publications/85079486546?origin=resultslist</t>
  </si>
  <si>
    <t>2-s2.0-85079486546</t>
  </si>
  <si>
    <t>Cheng X.; Bao Y.; Zarifis A.; Gong W.; Mou J.</t>
  </si>
  <si>
    <t>Exploring consumers' response to text-based chatbots in e-commerce: the moderating role of task complexity and chatbot disclosure</t>
  </si>
  <si>
    <t>Internet Research</t>
  </si>
  <si>
    <t>10.1108/INTR-08-2020-0460</t>
  </si>
  <si>
    <t>https://www.scopus.com/pages/publications/85110034669?origin=resultslist</t>
  </si>
  <si>
    <t>2-s2.0-85110034669</t>
  </si>
  <si>
    <t>Schmidt P.; Biessmann F.; Teubner T.</t>
  </si>
  <si>
    <t>Transparency and trust in artificial intelligence systems</t>
  </si>
  <si>
    <t>Journal of Decision Systems</t>
  </si>
  <si>
    <t>10.1080/12460125.2020.1819094</t>
  </si>
  <si>
    <t>https://www.scopus.com/pages/publications/85091359065?origin=resultslist</t>
  </si>
  <si>
    <t>2-s2.0-85091359065</t>
  </si>
  <si>
    <t>Deb S.; Strawderman L.; Carruth D.W.; DuBien J.; Smith B.; Garrison T.M.</t>
  </si>
  <si>
    <t>Development and validation of a questionnaire to assess pedestrian receptivity toward fully autonomous vehicles</t>
  </si>
  <si>
    <t>10.1016/j.trc.2017.08.029</t>
  </si>
  <si>
    <t>https://www.scopus.com/pages/publications/85030651422?origin=resultslist</t>
  </si>
  <si>
    <t>2-s2.0-85030651422</t>
  </si>
  <si>
    <t>Nunes I.; Jannach D.</t>
  </si>
  <si>
    <t>A systematic review and taxonomy of explanations in decision support and recommender systems</t>
  </si>
  <si>
    <t>User Modeling and User-Adapted Interaction</t>
  </si>
  <si>
    <t>10.1007/s11257-017-9195-0</t>
  </si>
  <si>
    <t>https://www.scopus.com/pages/publications/85030671275?origin=resultslist</t>
  </si>
  <si>
    <t>2-s2.0-85030671275</t>
  </si>
  <si>
    <t>Banh L.; Strobel G.</t>
  </si>
  <si>
    <t>Generative artificial intelligence</t>
  </si>
  <si>
    <t>10.1007/s12525-023-00680-1</t>
  </si>
  <si>
    <t>https://www.scopus.com/pages/publications/85178959243?origin=resultslist</t>
  </si>
  <si>
    <t>2-s2.0-85178959243</t>
  </si>
  <si>
    <t>Ribeiro M.T.; Singh S.; Guestrin C.</t>
  </si>
  <si>
    <t>"why should i trust you?" explaining the predictions of any classifier</t>
  </si>
  <si>
    <t>NAACL-HLT 2016 - 2016 Conference of the North American Chapter of the Association for Computational Linguistics: Human Language Technologies, Proceedings of the Demonstrations Session</t>
  </si>
  <si>
    <t>https://www.scopus.com/pages/publications/85119340593?origin=resultslist</t>
  </si>
  <si>
    <t>2-s2.0-85119340593</t>
  </si>
  <si>
    <t>Jaiswal A.; Arun C.J.; Varma A.</t>
  </si>
  <si>
    <t>Rebooting employees: upskilling for artificial intelligence in multinational corporations</t>
  </si>
  <si>
    <t>International Journal of Human Resource Management</t>
  </si>
  <si>
    <t>10.1080/09585192.2021.1891114</t>
  </si>
  <si>
    <t>https://www.scopus.com/pages/publications/85102861561?origin=resultslist</t>
  </si>
  <si>
    <t>2-s2.0-85102861561</t>
  </si>
  <si>
    <t>Tsarouchi P.; Makris S.; Chryssolouris G.</t>
  </si>
  <si>
    <t>Human–robot interaction review and challenges on task planning and programming</t>
  </si>
  <si>
    <t>International Journal of Computer Integrated Manufacturing</t>
  </si>
  <si>
    <t>10.1080/0951192X.2015.1130251</t>
  </si>
  <si>
    <t>https://www.scopus.com/pages/publications/84962541336?origin=resultslist</t>
  </si>
  <si>
    <t>2-s2.0-84962541336</t>
  </si>
  <si>
    <t>Kordzadeh N.; Ghasemaghaei M.</t>
  </si>
  <si>
    <t>Algorithmic bias: review, synthesis, and future research directions</t>
  </si>
  <si>
    <t>European Journal of Information Systems</t>
  </si>
  <si>
    <t>10.1080/0960085X.2021.1927212</t>
  </si>
  <si>
    <t>https://www.scopus.com/pages/publications/85107494797?origin=resultslist</t>
  </si>
  <si>
    <t>2-s2.0-85107494797</t>
  </si>
  <si>
    <t>Gillath O.; Ai T.; Branicky M.; Keshmiri S.; Davison R.; Spaulding R.</t>
  </si>
  <si>
    <t>Attachment and trust in artificial intelligence</t>
  </si>
  <si>
    <t>10.1016/j.chb.2020.106607</t>
  </si>
  <si>
    <t>https://www.scopus.com/pages/publications/85094326890?origin=resultslist</t>
  </si>
  <si>
    <t>2-s2.0-85094326890</t>
  </si>
  <si>
    <t>McDonald A.D.; Alambeigi H.; Engström J.; Markkula G.; Vogelpohl T.; Dunne J.; Yuma N.</t>
  </si>
  <si>
    <t>Toward Computational Simulations of Behavior During Automated Driving Takeovers: A Review of the Empirical and Modeling Literatures</t>
  </si>
  <si>
    <t>10.1177/0018720819829572</t>
  </si>
  <si>
    <t>https://www.scopus.com/pages/publications/85062465042?origin=resultslist</t>
  </si>
  <si>
    <t>2-s2.0-85062465042</t>
  </si>
  <si>
    <t>Lee S.; Choi J.</t>
  </si>
  <si>
    <t>Enhancing user experience with conversational agent for movie recommendation: Effects of self-disclosure and reciprocity</t>
  </si>
  <si>
    <t>International Journal of Human Computer Studies</t>
  </si>
  <si>
    <t>10.1016/j.ijhcs.2017.02.005</t>
  </si>
  <si>
    <t>https://www.scopus.com/pages/publications/85014842168?origin=resultslist</t>
  </si>
  <si>
    <t>2-s2.0-85014842168</t>
  </si>
  <si>
    <t>Hoffman G.</t>
  </si>
  <si>
    <t>Evaluating Fluency in Human-Robot Collaboration</t>
  </si>
  <si>
    <t>IEEE Transactions on Human-Machine Systems</t>
  </si>
  <si>
    <t>10.1109/THMS.2019.2904558</t>
  </si>
  <si>
    <t>https://www.scopus.com/pages/publications/85065881224?origin=resultslist</t>
  </si>
  <si>
    <t>2-s2.0-85065881224</t>
  </si>
  <si>
    <t>Natarajan M.; Gombolay M.</t>
  </si>
  <si>
    <t>Effects of anthropomorphism and accountability on trust in human robot interaction</t>
  </si>
  <si>
    <t>10.1145/3319502.3374839</t>
  </si>
  <si>
    <t>https://www.scopus.com/pages/publications/85082003650?origin=resultslist</t>
  </si>
  <si>
    <t>2-s2.0-85082003650</t>
  </si>
  <si>
    <t>Buckley L.; Kaye S.-A.; Pradhan A.K.</t>
  </si>
  <si>
    <t>Psychosocial factors associated with intended use of automated vehicles: A simulated driving study</t>
  </si>
  <si>
    <t>Accident Analysis and Prevention</t>
  </si>
  <si>
    <t>10.1016/j.aap.2018.03.021</t>
  </si>
  <si>
    <t>https://www.scopus.com/pages/publications/85044997209?origin=resultslist</t>
  </si>
  <si>
    <t>2-s2.0-85044997209</t>
  </si>
  <si>
    <t>Mercado J.E.; Rupp M.A.; Chen J.Y.C.; Barnes M.J.; Barber D.; Procci K.</t>
  </si>
  <si>
    <t>Intelligent Agent Transparency in Human-Agent Teaming for Multi-UxV Management</t>
  </si>
  <si>
    <t>10.1177/0018720815621206</t>
  </si>
  <si>
    <t>https://www.scopus.com/pages/publications/84962858665?origin=resultslist</t>
  </si>
  <si>
    <t>2-s2.0-84962858665</t>
  </si>
  <si>
    <t>Lyell D.; Coiera E.</t>
  </si>
  <si>
    <t>Automation bias and verification complexity: A systematic review</t>
  </si>
  <si>
    <t>Journal of the American Medical Informatics Association</t>
  </si>
  <si>
    <t>10.1093/jamia/ocw105</t>
  </si>
  <si>
    <t>https://www.scopus.com/pages/publications/85016430011?origin=resultslist</t>
  </si>
  <si>
    <t>2-s2.0-85016430011</t>
  </si>
  <si>
    <t>Kaya F.; Aydin F.; Schepman A.; Rodway P.; Yetişensoy O.; Demir Kaya M.</t>
  </si>
  <si>
    <t>The Roles of Personality Traits, AI Anxiety, and Demographic Factors in Attitudes toward Artificial Intelligence</t>
  </si>
  <si>
    <t>10.1080/10447318.2022.2151730</t>
  </si>
  <si>
    <t>https://www.scopus.com/pages/publications/85144228755?origin=resultslist</t>
  </si>
  <si>
    <t>2-s2.0-85144228755</t>
  </si>
  <si>
    <t>Kaplan A.; Haenlein M.</t>
  </si>
  <si>
    <t>Rulers of the world, unite! The challenges and opportunities of artificial intelligence</t>
  </si>
  <si>
    <t>Business Horizons</t>
  </si>
  <si>
    <t>10.1016/j.bushor.2019.09.003</t>
  </si>
  <si>
    <t>https://www.scopus.com/pages/publications/85073998760?origin=resultslist</t>
  </si>
  <si>
    <t>2-s2.0-85073998760</t>
  </si>
  <si>
    <t>Lambert S.I.; Madi M.; Sopka S.; Lenes A.; Stange H.; Buszello C.-P.; Stephan A.</t>
  </si>
  <si>
    <t>An integrative review on the acceptance of artificial intelligence among healthcare professionals in hospitals</t>
  </si>
  <si>
    <t>10.1038/s41746-023-00852-5</t>
  </si>
  <si>
    <t>https://www.scopus.com/pages/publications/85163080117?origin=resultslist</t>
  </si>
  <si>
    <t>2-s2.0-85163080117</t>
  </si>
  <si>
    <t>Green B.; Chen Y.</t>
  </si>
  <si>
    <t>The principles and limits of algorithm-in-the-loop decision making</t>
  </si>
  <si>
    <t>CSCW</t>
  </si>
  <si>
    <t>10.1145/3359152</t>
  </si>
  <si>
    <t>https://www.scopus.com/pages/publications/85075059554?origin=resultslist</t>
  </si>
  <si>
    <t>2-s2.0-85075059554</t>
  </si>
  <si>
    <t>Bansal G.; Nushi B.; Kamar E.; Lasecki W.S.; Weld D.S.; Horvitz E.</t>
  </si>
  <si>
    <t>Beyond Accuracy: The Role of Mental Models in Human-AI Team Performance</t>
  </si>
  <si>
    <t>Proceedings of the AAAI Conference on Human Computation and Crowdsourcing</t>
  </si>
  <si>
    <t>10.1609/hcomp.v7i1.5285</t>
  </si>
  <si>
    <t>https://www.scopus.com/pages/publications/85147841363?origin=resultslist</t>
  </si>
  <si>
    <t>2-s2.0-85147841363</t>
  </si>
  <si>
    <t>Robinson S.C.</t>
  </si>
  <si>
    <t>Trust, transparency, and openness: How inclusion of cultural values shapes Nordic national public policy strategies for artificial intelligence (AI)</t>
  </si>
  <si>
    <t>Technology in Society</t>
  </si>
  <si>
    <t>10.1016/j.techsoc.2020.101421</t>
  </si>
  <si>
    <t>https://www.scopus.com/pages/publications/85094857427?origin=resultslist</t>
  </si>
  <si>
    <t>2-s2.0-85094857427</t>
  </si>
  <si>
    <t>Dubey R.; Bryde D.J.; Dwivedi Y.K.; Graham G.; Foropon C.</t>
  </si>
  <si>
    <t>Impact of artificial intelligence-driven big data analytics culture on agility and resilience in humanitarian supply chain: A practice-based view</t>
  </si>
  <si>
    <t>International Journal of Production Economics</t>
  </si>
  <si>
    <t>10.1016/j.ijpe.2022.108618</t>
  </si>
  <si>
    <t>https://www.scopus.com/pages/publications/85138517376?origin=resultslist</t>
  </si>
  <si>
    <t>2-s2.0-85138517376</t>
  </si>
  <si>
    <t>Tjoa E.; Guan C.</t>
  </si>
  <si>
    <t>A Survey on Explainable Artificial Intelligence (XAI): Toward Medical XAI</t>
  </si>
  <si>
    <t>IEEE Transactions on Neural Networks and Learning Systems</t>
  </si>
  <si>
    <t>10.1109/TNNLS.2020.3027314</t>
  </si>
  <si>
    <t>https://www.scopus.com/pages/publications/85118982145?origin=resultslist</t>
  </si>
  <si>
    <t>2-s2.0-85118982145</t>
  </si>
  <si>
    <t>Arslan A.; Cooper C.; Khan Z.; Golgeci I.; Ali I.</t>
  </si>
  <si>
    <t>Artificial intelligence and human workers interaction at team level: a conceptual assessment of the challenges and potential HRM strategies</t>
  </si>
  <si>
    <t>International Journal of Manpower</t>
  </si>
  <si>
    <t>10.1108/IJM-01-2021-0052</t>
  </si>
  <si>
    <t>https://www.scopus.com/pages/publications/85111548576?origin=resultslist</t>
  </si>
  <si>
    <t>2-s2.0-85111548576</t>
  </si>
  <si>
    <t>Mohseni S.; Zarei N.; Ragan E.D.</t>
  </si>
  <si>
    <t>A Multidisciplinary Survey and Framework for Design and Evaluation of Explainable AI Systems</t>
  </si>
  <si>
    <t>10.1145/3387166</t>
  </si>
  <si>
    <t>https://www.scopus.com/pages/publications/85139251634?origin=resultslist</t>
  </si>
  <si>
    <t>2-s2.0-85139251634</t>
  </si>
  <si>
    <t>Dwivedi Y.K.; Hughes L.; Ismagilova E.; Aarts G.; Coombs C.; Crick T.; Duan Y.; Dwivedi R.; Edwards J.; Eirug A.; Galanos V.; Ilavarasan P.V.; Janssen M.; Jones P.; Kar A.K.; Kizgin H.; Kronemann B.; Lal B.; Lucini B.; Medaglia R.; Le Meunier-FitzHugh K.; Le Meunier-FitzHugh L.C.; Misra S.; Mogaji E.; Sharma S.K.; Singh J.B.; Raghavan V.; Raman R.; Rana N.P.; Samothrakis S.; Spencer J.; Tamilmani K.; Tubadji A.; Walton P.; Williams M.D.</t>
  </si>
  <si>
    <t>Artificial Intelligence (AI): Multidisciplinary perspectives on emerging challenges, opportunities, and agenda for research, practice and policy</t>
  </si>
  <si>
    <t>International Journal of Information Management</t>
  </si>
  <si>
    <t>10.1016/j.ijinfomgt.2019.08.002</t>
  </si>
  <si>
    <t>https://www.scopus.com/pages/publications/85071255877?origin=resultslist</t>
  </si>
  <si>
    <t>2-s2.0-85071255877</t>
  </si>
  <si>
    <t>Chen Y.; Esmaeilzadeh P.</t>
  </si>
  <si>
    <t>Generative AI in Medical Practice: In-Depth Exploration of Privacy and Security Challenges</t>
  </si>
  <si>
    <t>e53008</t>
  </si>
  <si>
    <t>10.2196/53008</t>
  </si>
  <si>
    <t>https://www.scopus.com/pages/publications/85187535614?origin=resultslist</t>
  </si>
  <si>
    <t>2-s2.0-85187535614</t>
  </si>
  <si>
    <t>Habibovic A.; Lundgren V.M.; Andersson J.; Klingegård M.; Lagström T.; Sirkka A.; Fagerlönn J.; Edgren C.; Fredriksson R.; Krupenia S.; Saluäär D.; Larsson P.</t>
  </si>
  <si>
    <t>Communicating intent of automated vehicles to pedestrians</t>
  </si>
  <si>
    <t>AUG</t>
  </si>
  <si>
    <t>10.3389/fpsyg.2018.01336</t>
  </si>
  <si>
    <t>https://www.scopus.com/pages/publications/85058858946?origin=resultslist</t>
  </si>
  <si>
    <t>2-s2.0-85058858946</t>
  </si>
  <si>
    <t>O’Neill T.; McNeese N.; Barron A.; Schelble B.</t>
  </si>
  <si>
    <t>Human–Autonomy Teaming: A Review and Analysis of the Empirical Literature</t>
  </si>
  <si>
    <t>10.1177/0018720820960865</t>
  </si>
  <si>
    <t>https://www.scopus.com/pages/publications/85093652894?origin=resultslist</t>
  </si>
  <si>
    <t>2-s2.0-85093652894</t>
  </si>
  <si>
    <t>Zheng N.-N.; Liu Z.-Y.; Ren P.-J.; Ma Y.-Q.; Chen S.-T.; Yu S.-Y.; Xue J.-R.; Chen B.-D.; Wang F.-Y.</t>
  </si>
  <si>
    <t>Hybrid-augmented intelligence: collaboration and cognition</t>
  </si>
  <si>
    <t>Frontiers of Information Technology and Electronic Engineering</t>
  </si>
  <si>
    <t>10.1631/FITEE.1700053</t>
  </si>
  <si>
    <t>https://www.scopus.com/pages/publications/85013156417?origin=resultslist</t>
  </si>
  <si>
    <t>2-s2.0-85013156417</t>
  </si>
  <si>
    <t>Körber M.; Gold C.; Lechner D.; Bengler K.</t>
  </si>
  <si>
    <t>The influence of age on the take-over of vehicle control in highly automated driving</t>
  </si>
  <si>
    <t>10.1016/j.trf.2016.03.002</t>
  </si>
  <si>
    <t>https://www.scopus.com/pages/publications/84961855491?origin=resultslist</t>
  </si>
  <si>
    <t>2-s2.0-84961855491</t>
  </si>
  <si>
    <t>van der Waa J.; Nieuwburg E.; Cremers A.; Neerincx M.</t>
  </si>
  <si>
    <t>Evaluating XAI: A comparison of rule-based and example-based explanations</t>
  </si>
  <si>
    <t>10.1016/j.artint.2020.103404</t>
  </si>
  <si>
    <t>https://www.scopus.com/pages/publications/85097186283?origin=resultslist</t>
  </si>
  <si>
    <t>2-s2.0-85097186283</t>
  </si>
  <si>
    <t>Schaefer K.E.; Chen J.Y.C.; Szalma J.L.; Hancock P.A.</t>
  </si>
  <si>
    <t>A Meta-Analysis of Factors Influencing the Development of Trust in Automation: Implications for Understanding Autonomy in Future Systems</t>
  </si>
  <si>
    <t>10.1177/0018720816634228</t>
  </si>
  <si>
    <t>https://www.scopus.com/pages/publications/84962920800?origin=resultslist</t>
  </si>
  <si>
    <t>2-s2.0-84962920800</t>
  </si>
  <si>
    <t>Pitardi V.; Marriott H.R.</t>
  </si>
  <si>
    <t>Alexa, she's not human but… Unveiling the drivers of consumers' trust in voice-based artificial intelligence</t>
  </si>
  <si>
    <t>10.1002/mar.21457</t>
  </si>
  <si>
    <t>https://www.scopus.com/pages/publications/85099555347?origin=resultslist</t>
  </si>
  <si>
    <t>2-s2.0-85099555347</t>
  </si>
  <si>
    <t>Shyam Sundar S.; Kim J.</t>
  </si>
  <si>
    <t>Machine heuristic: When we trust computers more than humans with our personal information</t>
  </si>
  <si>
    <t>10.1145/3290605.3300768</t>
  </si>
  <si>
    <t>https://www.scopus.com/pages/publications/85067611223?origin=resultslist</t>
  </si>
  <si>
    <t>2-s2.0-85067611223</t>
  </si>
  <si>
    <t>Aldoseri A.; Al-Khalifa K.N.; Hamouda A.M.</t>
  </si>
  <si>
    <t>Re-Thinking Data Strategy and Integration for Artificial Intelligence: Concepts, Opportunities, and Challenges</t>
  </si>
  <si>
    <t>Applied Sciences (Switzerland)</t>
  </si>
  <si>
    <t>10.3390/app13127082</t>
  </si>
  <si>
    <t>https://www.scopus.com/pages/publications/85164007483?origin=resultslist</t>
  </si>
  <si>
    <t>2-s2.0-85164007483</t>
  </si>
  <si>
    <t>Cai C.J.; Reif E.; Hegde N.; Hipp J.; Kim B.; Smilkov D.; Wattenberg M.; Viegas F.; Corrado G.S.; Stumpe M.C.; Terry M.</t>
  </si>
  <si>
    <t>Human-centered tools for coping with imperfect algorithms during medical decision-making</t>
  </si>
  <si>
    <t>10.1145/3290605.3300234</t>
  </si>
  <si>
    <t>https://www.scopus.com/pages/publications/85065575776?origin=resultslist</t>
  </si>
  <si>
    <t>2-s2.0-85065575776</t>
  </si>
  <si>
    <t>Zhang R.; McNeese N.J.; Freeman G.; Musick G.</t>
  </si>
  <si>
    <t>"An Ideal Human": Expectations of AI Teammates in Human-AI Teaming</t>
  </si>
  <si>
    <t>CSCW3</t>
  </si>
  <si>
    <t>10.1145/3432945</t>
  </si>
  <si>
    <t>https://www.scopus.com/pages/publications/85105599703?origin=resultslist</t>
  </si>
  <si>
    <t>2-s2.0-85105599703</t>
  </si>
  <si>
    <t>de Visser E.J.; Monfort S.S.; McKendrick R.; Smith M.A.B.; McKnight P.E.; Krueger F.; Parasuraman R.</t>
  </si>
  <si>
    <t>Almost human: Anthropomorphism increases trust resilience in cognitive agents</t>
  </si>
  <si>
    <t>Journal of Experimental Psychology: Applied</t>
  </si>
  <si>
    <t>10.1037/xap0000092</t>
  </si>
  <si>
    <t>https://www.scopus.com/pages/publications/84986260158?origin=resultslist</t>
  </si>
  <si>
    <t>2-s2.0-84986260158</t>
  </si>
  <si>
    <t>Chamola V.; Hassija V.; Sulthana A.R.; Ghosh D.; Dhingra D.; Sikdar B.</t>
  </si>
  <si>
    <t>A Review of Trustworthy and Explainable Artificial Intelligence (XAI)</t>
  </si>
  <si>
    <t>10.1109/ACCESS.2023.3294569</t>
  </si>
  <si>
    <t>https://www.scopus.com/pages/publications/85165321235?origin=resultslist</t>
  </si>
  <si>
    <t>2-s2.0-85165321235</t>
  </si>
  <si>
    <t>Omeiza D.; Webb H.; Jirotka M.; Kunze L.</t>
  </si>
  <si>
    <t>Explanations in Autonomous Driving: A Survey</t>
  </si>
  <si>
    <t>IEEE Transactions on Intelligent Transportation Systems</t>
  </si>
  <si>
    <t>10.1109/TITS.2021.3122865</t>
  </si>
  <si>
    <t>https://www.scopus.com/pages/publications/85136123594?origin=resultslist</t>
  </si>
  <si>
    <t>2-s2.0-85136123594</t>
  </si>
  <si>
    <t>Shrestha Y.R.; Krishna V.; von Krogh G.</t>
  </si>
  <si>
    <t>Augmenting organizational decision-making with deep learning algorithms: Principles, promises, and challenges</t>
  </si>
  <si>
    <t>10.1016/j.jbusres.2020.09.068</t>
  </si>
  <si>
    <t>https://www.scopus.com/pages/publications/85092897866?origin=resultslist</t>
  </si>
  <si>
    <t>2-s2.0-85092897866</t>
  </si>
  <si>
    <t>Building trust in artificial intelligence, machine learning, and robotics</t>
  </si>
  <si>
    <t>Cutter business technology journal</t>
  </si>
  <si>
    <t>https://www.scopus.com/pages/publications/85054250715?origin=resultslist</t>
  </si>
  <si>
    <t>2-s2.0-85054250715</t>
  </si>
  <si>
    <t>Petsiuk V.; Das A.; Saenko K.</t>
  </si>
  <si>
    <t>RisE: Randomized input sampling for explanation of black-box models</t>
  </si>
  <si>
    <t>British Machine Vision Conference 2018, BMVC 2018</t>
  </si>
  <si>
    <t>https://www.scopus.com/pages/publications/85084012945?origin=resultslist</t>
  </si>
  <si>
    <t>2-s2.0-85084012945</t>
  </si>
  <si>
    <t>Wang W.; Siau K.</t>
  </si>
  <si>
    <t>Artificial intelligence, machine learning, automation, robotics, future of work and future of humanity: A review and research agenda</t>
  </si>
  <si>
    <t>10.4018/JDM.2019010104</t>
  </si>
  <si>
    <t>https://www.scopus.com/pages/publications/85066981487?origin=resultslist</t>
  </si>
  <si>
    <t>2-s2.0-85066981487</t>
  </si>
  <si>
    <t>Penmetsa P.; Adanu E.K.; Wood D.; Wang T.; Jones S.L.</t>
  </si>
  <si>
    <t>Perceptions and expectations of autonomous vehicles – A snapshot of vulnerable road user opinion</t>
  </si>
  <si>
    <t>10.1016/j.techfore.2019.02.010</t>
  </si>
  <si>
    <t>https://www.scopus.com/pages/publications/85062266123?origin=resultslist</t>
  </si>
  <si>
    <t>2-s2.0-85062266123</t>
  </si>
  <si>
    <t>Kraus J.; Scholz D.; Stiegemeier D.; Baumann M.</t>
  </si>
  <si>
    <t>The More You Know: Trust Dynamics and Calibration in Highly Automated Driving and the Effects of Take-Overs, System Malfunction, and System Transparency</t>
  </si>
  <si>
    <t>10.1177/0018720819853686</t>
  </si>
  <si>
    <t>https://www.scopus.com/pages/publications/85068185171?origin=resultslist</t>
  </si>
  <si>
    <t>2-s2.0-85068185171</t>
  </si>
  <si>
    <t>Kocielnik R.; Amershi S.; Bennett P.N.</t>
  </si>
  <si>
    <t>Will you accept an imperfect AI? Exploring Designs for Adjusting End-user Expectations of AI Systems</t>
  </si>
  <si>
    <t>10.1145/3290605.3300641</t>
  </si>
  <si>
    <t>https://www.scopus.com/pages/publications/85067622352?origin=resultslist</t>
  </si>
  <si>
    <t>2-s2.0-85067622352</t>
  </si>
  <si>
    <t>Coronado E.; Kiyokawa T.; Ricardez G.A.G.; Ramirez-Alpizar I.G.; Venture G.; Yamanobe N.</t>
  </si>
  <si>
    <t>Evaluating quality in human-robot interaction: A systematic search and classification of performance and human-centered factors, measures and metrics towards an industry 5.0</t>
  </si>
  <si>
    <t>Journal of Manufacturing Systems</t>
  </si>
  <si>
    <t>10.1016/j.jmsy.2022.04.007</t>
  </si>
  <si>
    <t>https://www.scopus.com/pages/publications/85129306597?origin=resultslist</t>
  </si>
  <si>
    <t>2-s2.0-85129306597</t>
  </si>
  <si>
    <t>Langer M.; Landers R.N.</t>
  </si>
  <si>
    <t>The future of artificial intelligence at work: A review on effects of decision automation and augmentation on workers targeted by algorithms and third-party observers</t>
  </si>
  <si>
    <t>10.1016/j.chb.2021.106878</t>
  </si>
  <si>
    <t>https://www.scopus.com/pages/publications/85107658919?origin=resultslist</t>
  </si>
  <si>
    <t>2-s2.0-85107658919</t>
  </si>
  <si>
    <t>Yu X.; Xu S.; Ashton M.</t>
  </si>
  <si>
    <t>Antecedents and outcomes of artificial intelligence adoption and application in the workplace: the socio-technical system theory perspective</t>
  </si>
  <si>
    <t>Information Technology and People</t>
  </si>
  <si>
    <t>10.1108/ITP-04-2021-0254</t>
  </si>
  <si>
    <t>https://www.scopus.com/pages/publications/85124608079?origin=resultslist</t>
  </si>
  <si>
    <t>2-s2.0-85124608079</t>
  </si>
  <si>
    <t>Abbink D.A.; Carlson T.; Mulder M.; De Winter J.C.F.; Aminravan F.; Gibo T.L.; Boer E.R.</t>
  </si>
  <si>
    <t>A topology of shared control systems-finding common ground in diversity</t>
  </si>
  <si>
    <t>10.1109/THMS.2018.2791570</t>
  </si>
  <si>
    <t>https://www.scopus.com/pages/publications/85046351802?origin=resultslist</t>
  </si>
  <si>
    <t>2-s2.0-85046351802</t>
  </si>
  <si>
    <t>Nazaretsky T.; Ariely M.; Cukurova M.; Alexandron G.</t>
  </si>
  <si>
    <t>Teachers' trust in AI-powered educational technology and a professional development program to improve it</t>
  </si>
  <si>
    <t>British Journal of Educational Technology</t>
  </si>
  <si>
    <t>10.1111/bjet.13232</t>
  </si>
  <si>
    <t>https://www.scopus.com/pages/publications/85129603240?origin=resultslist</t>
  </si>
  <si>
    <t>2-s2.0-85129603240</t>
  </si>
  <si>
    <t>Gold C.; Happee R.; Bengler K.</t>
  </si>
  <si>
    <t>Modeling take-over performance in level 3 conditionally automated vehicles</t>
  </si>
  <si>
    <t>10.1016/j.aap.2017.11.009</t>
  </si>
  <si>
    <t>https://www.scopus.com/pages/publications/85036522833?origin=resultslist</t>
  </si>
  <si>
    <t>2-s2.0-85036522833</t>
  </si>
  <si>
    <t>GREGORY R.W.; HENFRIDSSON O.; KAGANER E.; KYRIAKOU S.H.</t>
  </si>
  <si>
    <t>The role of artificial intelligence and data network effects for creating user value</t>
  </si>
  <si>
    <t>Academy of Management Review</t>
  </si>
  <si>
    <t>10.5465/amr.2019.0178</t>
  </si>
  <si>
    <t>https://www.scopus.com/pages/publications/85113185243?origin=resultslist</t>
  </si>
  <si>
    <t>2-s2.0-85113185243</t>
  </si>
  <si>
    <t>Zhang T.; Tao D.; Qu X.; Zhang X.; Lin R.; Zhang W.</t>
  </si>
  <si>
    <t>The roles of initial trust and perceived risk in public's acceptance of automated vehicles</t>
  </si>
  <si>
    <t>10.1016/j.trc.2018.11.018</t>
  </si>
  <si>
    <t>https://www.scopus.com/pages/publications/85057873577?origin=resultslist</t>
  </si>
  <si>
    <t>2-s2.0-85057873577</t>
  </si>
  <si>
    <t>Kim H.; So K.K.F.; Wirtz J.</t>
  </si>
  <si>
    <t>Service robots: Applying social exchange theory to better understand human–robot interactions</t>
  </si>
  <si>
    <t>Tourism Management</t>
  </si>
  <si>
    <t>10.1016/j.tourman.2022.104537</t>
  </si>
  <si>
    <t>https://www.scopus.com/pages/publications/85129380203?origin=resultslist</t>
  </si>
  <si>
    <t>2-s2.0-85129380203</t>
  </si>
  <si>
    <t>Thurman N.; Moeller J.; Helberger N.; Trilling D.</t>
  </si>
  <si>
    <t>My Friends, Editors, Algorithms, and I: Examining audience attitudes to news selection</t>
  </si>
  <si>
    <t>Digital Journalism</t>
  </si>
  <si>
    <t>10.1080/21670811.2018.1493936</t>
  </si>
  <si>
    <t>https://www.scopus.com/pages/publications/85055151138?origin=resultslist</t>
  </si>
  <si>
    <t>2-s2.0-85055151138</t>
  </si>
  <si>
    <t>Chen R.J.; Wang J.J.; Williamson D.F.K.; Chen T.Y.; Lipkova J.; Lu M.Y.; Sahai S.; Mahmood F.</t>
  </si>
  <si>
    <t>Algorithmic fairness in artificial intelligence for medicine and healthcare</t>
  </si>
  <si>
    <t>Nature Biomedical Engineering</t>
  </si>
  <si>
    <t>10.1038/s41551-023-01056-8</t>
  </si>
  <si>
    <t>https://www.scopus.com/pages/publications/85163638540?origin=resultslist</t>
  </si>
  <si>
    <t>2-s2.0-85163638540</t>
  </si>
  <si>
    <t>Stephanidis C.; Salvendy G.; Antona M.; Chen J.Y.C.; Dong J.; Duffy V.G.; Fang X.; Fidopiastis C.; Fragomeni G.; Fu L.P.; Guo Y.; Harris D.; Ioannou A.; Jeong K.-A.K.; Konomi S.; Krömker H.; Kurosu M.; Lewis J.R.; Marcus A.; Meiselwitz G.; Moallem A.; Mori H.; Fui-Hoon Nah F.; Ntoa S.; Rau P.-L.P.; Schmorrow D.; Siau K.; Streitz N.; Wang W.; Yamamoto S.; Zaphiris P.; Zhou J.</t>
  </si>
  <si>
    <t>Seven HCI Grand Challenges</t>
  </si>
  <si>
    <t>10.1080/10447318.2019.1619259</t>
  </si>
  <si>
    <t>https://www.scopus.com/pages/publications/85068499184?origin=resultslist</t>
  </si>
  <si>
    <t>2-s2.0-85068499184</t>
  </si>
  <si>
    <t>Supporting Human-AI Teams:Transparency, explainability, and situation awareness</t>
  </si>
  <si>
    <t>10.1016/j.chb.2022.107574</t>
  </si>
  <si>
    <t>https://www.scopus.com/pages/publications/85144604746?origin=resultslist</t>
  </si>
  <si>
    <t>2-s2.0-85144604746</t>
  </si>
  <si>
    <t>Wang N.; Pynadath D.V.; Hill S.G.</t>
  </si>
  <si>
    <t>Trust calibration within a human-robot team: Comparing automatically generated explanations</t>
  </si>
  <si>
    <t>10.1109/HRI.2016.7451741</t>
  </si>
  <si>
    <t>https://www.scopus.com/pages/publications/84964845785?origin=resultslist</t>
  </si>
  <si>
    <t>2-s2.0-84964845785</t>
  </si>
  <si>
    <t>Bansal G.; Wu T.; Zhou J.</t>
  </si>
  <si>
    <t>Does the whole exceed its parts? The efect of ai explanations on complementary team performance</t>
  </si>
  <si>
    <t>10.1145/3411764.3445717</t>
  </si>
  <si>
    <t>https://www.scopus.com/pages/publications/85102668663?origin=resultslist</t>
  </si>
  <si>
    <t>2-s2.0-85102668663</t>
  </si>
  <si>
    <t>Schemmer M.; Kuehl N.; Benz C.; Bartos A.; Satzger G.</t>
  </si>
  <si>
    <t>Appropriate Reliance on AI Advice: Conceptualization and the Effect of Explanations</t>
  </si>
  <si>
    <t>10.1145/3581641.3584066</t>
  </si>
  <si>
    <t>https://www.scopus.com/pages/publications/85152119120?origin=resultslist</t>
  </si>
  <si>
    <t>2-s2.0-85152119120</t>
  </si>
  <si>
    <t>Rong Y.; Leemann T.; Nguyen T.-T.; Fiedler L.; Qian P.; Unhelkar V.; Seidel T.; Kasneci G.; Kasneci E.</t>
  </si>
  <si>
    <t>Towards Human-Centered Explainable AI: A Survey of User Studies for Model Explanations</t>
  </si>
  <si>
    <t>IEEE Transactions on Pattern Analysis and Machine Intelligence</t>
  </si>
  <si>
    <t>10.1109/TPAMI.2023.3331846</t>
  </si>
  <si>
    <t>https://www.scopus.com/pages/publications/85177051708?origin=resultslist</t>
  </si>
  <si>
    <t>2-s2.0-85177051708</t>
  </si>
  <si>
    <t>Dikmen M.; Burns C.</t>
  </si>
  <si>
    <t>Trust in autonomous vehicles: The case of tesla autopilot and summon</t>
  </si>
  <si>
    <t>2017 IEEE International Conference on Systems, Man, and Cybernetics, SMC 2017</t>
  </si>
  <si>
    <t>2017-January</t>
  </si>
  <si>
    <t>10.1109/SMC.2017.8122757</t>
  </si>
  <si>
    <t>https://www.scopus.com/pages/publications/85044173288?origin=resultslist</t>
  </si>
  <si>
    <t>2-s2.0-85044173288</t>
  </si>
  <si>
    <t>Leitner-Hanetseder S.; Lehner O.M.; Eisl C.; Forstenlechner C.</t>
  </si>
  <si>
    <t>A profession in transition: actors, tasks and roles in AI-based accounting</t>
  </si>
  <si>
    <t>Journal of Applied Accounting Research</t>
  </si>
  <si>
    <t>10.1108/JAAR-10-2020-0201</t>
  </si>
  <si>
    <t>https://www.scopus.com/pages/publications/85099422856?origin=resultslist</t>
  </si>
  <si>
    <t>2-s2.0-85099422856</t>
  </si>
  <si>
    <t>Henry K.E.; Kornfield R.; Sridharan A.; Linton R.C.; Groh C.; Wang T.; Wu A.; Mutlu B.; Saria S.</t>
  </si>
  <si>
    <t>Human–machine teaming is key to AI adoption: clinicians’ experiences with a deployed machine learning system</t>
  </si>
  <si>
    <t>10.1038/s41746-022-00597-7</t>
  </si>
  <si>
    <t>https://www.scopus.com/pages/publications/85134495392?origin=resultslist</t>
  </si>
  <si>
    <t>2-s2.0-85134495392</t>
  </si>
  <si>
    <t>Ranalli J.</t>
  </si>
  <si>
    <t>L2 student engagement with automated feedback on writing: Potential for learning and issues of trust</t>
  </si>
  <si>
    <t>Journal of Second Language Writing</t>
  </si>
  <si>
    <t>10.1016/j.jslw.2021.100816</t>
  </si>
  <si>
    <t>https://www.scopus.com/pages/publications/85103114278?origin=resultslist</t>
  </si>
  <si>
    <t>2-s2.0-85103114278</t>
  </si>
  <si>
    <t>Nguyen T.; Lim C.P.; Nguyen N.D.; Gordon-Brown L.; Nahavandi S.</t>
  </si>
  <si>
    <t>A Review of Situation Awareness Assessment Approaches in Aviation Environments</t>
  </si>
  <si>
    <t>IEEE Systems Journal</t>
  </si>
  <si>
    <t>10.1109/JSYST.2019.2918283</t>
  </si>
  <si>
    <t>https://www.scopus.com/pages/publications/85071361637?origin=resultslist</t>
  </si>
  <si>
    <t>2-s2.0-85071361637</t>
  </si>
  <si>
    <t>Abbass H.A.</t>
  </si>
  <si>
    <t>Social Integration of Artificial Intelligence: Functions, Automation Allocation Logic and Human-Autonomy Trust</t>
  </si>
  <si>
    <t>Cognitive Computation</t>
  </si>
  <si>
    <t>10.1007/s12559-018-9619-0</t>
  </si>
  <si>
    <t>https://www.scopus.com/pages/publications/85060155806?origin=resultslist</t>
  </si>
  <si>
    <t>2-s2.0-85060155806</t>
  </si>
  <si>
    <t>Vössing M.; Kühl N.; Lind M.; Satzger G.</t>
  </si>
  <si>
    <t>Designing Transparency for Effective Human-AI Collaboration</t>
  </si>
  <si>
    <t>Information Systems Frontiers</t>
  </si>
  <si>
    <t>10.1007/s10796-022-10284-3</t>
  </si>
  <si>
    <t>https://www.scopus.com/pages/publications/85130737893?origin=resultslist</t>
  </si>
  <si>
    <t>2-s2.0-85130737893</t>
  </si>
  <si>
    <t>Victor T.W.; Tivesten E.; Gustavsson P.; Johansson J.; Sangberg F.; Ljung Aust M.</t>
  </si>
  <si>
    <t>Automation Expectation Mismatch: Incorrect Prediction Despite Eyes on Threat and Hands on Wheel</t>
  </si>
  <si>
    <t>10.1177/0018720818788164</t>
  </si>
  <si>
    <t>https://www.scopus.com/pages/publications/85052591959?origin=resultslist</t>
  </si>
  <si>
    <t>2-s2.0-85052591959</t>
  </si>
  <si>
    <t>Qin F.; Li K.; Yan J.</t>
  </si>
  <si>
    <t>Understanding user trust in artificial intelligence-based educational systems: Evidence from China</t>
  </si>
  <si>
    <t>10.1111/bjet.12994</t>
  </si>
  <si>
    <t>https://www.scopus.com/pages/publications/85088803644?origin=resultslist</t>
  </si>
  <si>
    <t>2-s2.0-85088803644</t>
  </si>
  <si>
    <t>Rosenfeld A.; Richardson A.</t>
  </si>
  <si>
    <t>Explainability in human–agent systems</t>
  </si>
  <si>
    <t>Autonomous Agents and Multi-Agent Systems</t>
  </si>
  <si>
    <t>10.1007/s10458-019-09408-y</t>
  </si>
  <si>
    <t>https://www.scopus.com/pages/publications/85065734266?origin=resultslist</t>
  </si>
  <si>
    <t>2-s2.0-85065734266</t>
  </si>
  <si>
    <t>Rubagotti M.; Tusseyeva I.; Baltabayeva S.; Summers D.; Sandygulova A.</t>
  </si>
  <si>
    <t>Perceived safety in physical human–robot interaction—A survey</t>
  </si>
  <si>
    <t>Robotics and Autonomous Systems</t>
  </si>
  <si>
    <t>10.1016/j.robot.2022.104047</t>
  </si>
  <si>
    <t>https://www.scopus.com/pages/publications/85124420205?origin=resultslist</t>
  </si>
  <si>
    <t>Short survey</t>
  </si>
  <si>
    <t>2-s2.0-85124420205</t>
  </si>
  <si>
    <t>Yang X.J.; Unhelkar V.V.; Li K.; Shah J.A.</t>
  </si>
  <si>
    <t>Evaluating Effects of User Experience and System Transparency on Trust in Automation</t>
  </si>
  <si>
    <t>10.1145/2909824.3020230</t>
  </si>
  <si>
    <t>https://www.scopus.com/pages/publications/85021817045?origin=resultslist</t>
  </si>
  <si>
    <t>2-s2.0-85021817045</t>
  </si>
  <si>
    <t>Kenny E.M.; Ford C.; Quinn M.; Keane M.T.</t>
  </si>
  <si>
    <t>Explaining black-box classifiers using post-hoc explanations-by-example: The effect of explanations and error-rates in XAI user studies</t>
  </si>
  <si>
    <t>10.1016/j.artint.2021.103459</t>
  </si>
  <si>
    <t>https://www.scopus.com/pages/publications/85100051479?origin=resultslist</t>
  </si>
  <si>
    <t>2-s2.0-85100051479</t>
  </si>
  <si>
    <t>Park S.S.; Tung C.D.; Lee H.</t>
  </si>
  <si>
    <t>The adoption of AI service robots: A comparison between credence and experience service settings</t>
  </si>
  <si>
    <t>10.1002/mar.21468</t>
  </si>
  <si>
    <t>https://www.scopus.com/pages/publications/85101833010?origin=resultslist</t>
  </si>
  <si>
    <t>2-s2.0-85101833010</t>
  </si>
  <si>
    <t>Hergeth S.; Lorenz L.; Krems J.F.</t>
  </si>
  <si>
    <t>Prior Familiarization with Takeover Requests Affects Drivers' Takeover Performance and Automation Trust</t>
  </si>
  <si>
    <t>10.1177/0018720816678714</t>
  </si>
  <si>
    <t>https://www.scopus.com/pages/publications/85018786230?origin=resultslist</t>
  </si>
  <si>
    <t>2-s2.0-85018786230</t>
  </si>
  <si>
    <t>Dratsch T.; Chen X.; Mehrizi M.R.; Kloeckner R.; Mähringer-Kunz A.; Püsken M.; Baeßler B.; Sauer S.; Maintz D.; dos Santos D.P.</t>
  </si>
  <si>
    <t>Automation Bias in Mammography: The Impact of Artificial Intelligence BI-RADS Suggestions on Reader Performance</t>
  </si>
  <si>
    <t>Radiology</t>
  </si>
  <si>
    <t>e222176</t>
  </si>
  <si>
    <t>10.1148/radiol.222176</t>
  </si>
  <si>
    <t>https://www.scopus.com/pages/publications/85159779314?origin=resultslist</t>
  </si>
  <si>
    <t>2-s2.0-85159779314</t>
  </si>
  <si>
    <t>Tossell C.C.; Tenhundfeld N.L.; Momen A.; Cooley K.; De Visser E.J.</t>
  </si>
  <si>
    <t>Student Perceptions of ChatGPT Use in a College Essay Assignment: Implications for Learning, Grading, and Trust in Artificial Intelligence</t>
  </si>
  <si>
    <t>IEEE Transactions on Learning Technologies</t>
  </si>
  <si>
    <t>10.1109/TLT.2024.3355015</t>
  </si>
  <si>
    <t>https://www.scopus.com/pages/publications/85182942116?origin=resultslist</t>
  </si>
  <si>
    <t>2-s2.0-85182942116</t>
  </si>
  <si>
    <t>Anania E.C.; Rice S.; Walters N.W.; Pierce M.; Winter S.R.; Milner M.N.</t>
  </si>
  <si>
    <t>The effects of positive and negative information on consumers’ willingness to ride in a driverless vehicle</t>
  </si>
  <si>
    <t>Transport Policy</t>
  </si>
  <si>
    <t>10.1016/j.tranpol.2018.04.002</t>
  </si>
  <si>
    <t>https://www.scopus.com/pages/publications/85044933543?origin=resultslist</t>
  </si>
  <si>
    <t>2-s2.0-85044933543</t>
  </si>
  <si>
    <t>Jeffri N.F.S.; Awang Rambli D.R.</t>
  </si>
  <si>
    <t>A review of augmented reality systems and their effects on mental workload and task performance</t>
  </si>
  <si>
    <t>Heliyon</t>
  </si>
  <si>
    <t>e06277</t>
  </si>
  <si>
    <t>10.1016/j.heliyon.2021.e06277</t>
  </si>
  <si>
    <t>https://www.scopus.com/pages/publications/85101900164?origin=resultslist</t>
  </si>
  <si>
    <t>2-s2.0-85101900164</t>
  </si>
  <si>
    <t>Morales-Alvarez W.; Sipele O.; Léberon R.; Tadjine H.H.; Olaverri-Monreal C.</t>
  </si>
  <si>
    <t>Automated driving: A literature review of the take over request in conditional automation</t>
  </si>
  <si>
    <t>Electronics (Switzerland)</t>
  </si>
  <si>
    <t>10.3390/electronics9122087</t>
  </si>
  <si>
    <t>https://www.scopus.com/pages/publications/85097415003?origin=resultslist</t>
  </si>
  <si>
    <t>2-s2.0-85097415003</t>
  </si>
  <si>
    <t>Liu P.; Guo Q.; Ren F.; Wang L.; Xu Z.</t>
  </si>
  <si>
    <t>Willingness to pay for self-driving vehicles: Influences of demographic and psychological factors</t>
  </si>
  <si>
    <t>10.1016/j.trc.2019.01.022</t>
  </si>
  <si>
    <t>https://www.scopus.com/pages/publications/85060928269?origin=resultslist</t>
  </si>
  <si>
    <t>2-s2.0-85060928269</t>
  </si>
  <si>
    <t>Karinshak E.; Liu S.X.; Park J.S.; Hancock J.T.</t>
  </si>
  <si>
    <t>Working With AI to Persuade: Examining a Large Language Model's Ability to Generate Pro-Vaccination Messages</t>
  </si>
  <si>
    <t>10.1145/3579592</t>
  </si>
  <si>
    <t>https://www.scopus.com/pages/publications/85153940405?origin=resultslist</t>
  </si>
  <si>
    <t>2-s2.0-85153940405</t>
  </si>
  <si>
    <t>Lyons J.B.; Sycara K.; Lewis M.; Capiola A.</t>
  </si>
  <si>
    <t>Human–Autonomy Teaming: Definitions, Debates, and Directions</t>
  </si>
  <si>
    <t>10.3389/fpsyg.2021.589585</t>
  </si>
  <si>
    <t>https://www.scopus.com/pages/publications/85107821361?origin=resultslist</t>
  </si>
  <si>
    <t>2-s2.0-85107821361</t>
  </si>
  <si>
    <t>Wickens C.</t>
  </si>
  <si>
    <t>Attention: Theory, Principles, Models and Applications</t>
  </si>
  <si>
    <t>10.1080/10447318.2021.1874741</t>
  </si>
  <si>
    <t>https://www.scopus.com/pages/publications/85100531342?origin=resultslist</t>
  </si>
  <si>
    <t>2-s2.0-85100531342</t>
  </si>
  <si>
    <t>Robinette P.; Howard A.M.; Wagner A.R.</t>
  </si>
  <si>
    <t>Effect of Robot Performance on Human-Robot Trust in Time-Critical Situations</t>
  </si>
  <si>
    <t>10.1109/THMS.2017.2648849</t>
  </si>
  <si>
    <t>https://www.scopus.com/pages/publications/85010208253?origin=resultslist</t>
  </si>
  <si>
    <t>2-s2.0-85010208253</t>
  </si>
  <si>
    <t>Du N.; Haspiel J.; Zhang Q.; Tilbury D.; Pradhan A.K.; Yang X.J.; Robert L.P., Jr.</t>
  </si>
  <si>
    <t>Look who's talking now: Implications of AV's explanations on driver's trust, AV preference, anxiety and mental workload</t>
  </si>
  <si>
    <t>10.1016/j.trc.2019.05.025</t>
  </si>
  <si>
    <t>https://www.scopus.com/pages/publications/85066123743?origin=resultslist</t>
  </si>
  <si>
    <t>2-s2.0-85066123743</t>
  </si>
  <si>
    <t>Chen M.; Nikolaidis S.; Soh H.; Hsu D.; Srinivasa S.</t>
  </si>
  <si>
    <t>Planning with Trust for Human-Robot Collaboration</t>
  </si>
  <si>
    <t>10.1145/3171221.3171264</t>
  </si>
  <si>
    <t>https://www.scopus.com/pages/publications/85045130182?origin=resultslist</t>
  </si>
  <si>
    <t>2-s2.0-85045130182</t>
  </si>
  <si>
    <t>De Graaf M.M.A.; Malle B.F.</t>
  </si>
  <si>
    <t>How people explain action (and autonomous intelligent systems should too)</t>
  </si>
  <si>
    <t>AAAI Fall Symposium - Technical Report</t>
  </si>
  <si>
    <t>FS-17-01 - FS-17-05</t>
  </si>
  <si>
    <t>https://www.scopus.com/pages/publications/85044470502?origin=resultslist</t>
  </si>
  <si>
    <t>2-s2.0-85044470502</t>
  </si>
  <si>
    <t>Haque A.B.; Islam A.K.M.N.; Mikalef P.</t>
  </si>
  <si>
    <t>Explainable Artificial Intelligence (XAI) from a user perspective: A synthesis of prior literature and problematizing avenues for future research</t>
  </si>
  <si>
    <t>10.1016/j.techfore.2022.122120</t>
  </si>
  <si>
    <t>https://www.scopus.com/pages/publications/85141663353?origin=resultslist</t>
  </si>
  <si>
    <t>2-s2.0-85141663353</t>
  </si>
  <si>
    <t>Banks V.A.; Plant K.L.; Stanton N.A.</t>
  </si>
  <si>
    <t>Driver error or designer error: Using the Perceptual Cycle Model to explore the circumstances surrounding the fatal Tesla crash on 7th May 2016</t>
  </si>
  <si>
    <t>Safety Science</t>
  </si>
  <si>
    <t>10.1016/j.ssci.2017.12.023</t>
  </si>
  <si>
    <t>https://www.scopus.com/pages/publications/85038859286?origin=resultslist</t>
  </si>
  <si>
    <t>2-s2.0-85038859286</t>
  </si>
  <si>
    <t>Gulati S.; Sousa S.; Lamas D.</t>
  </si>
  <si>
    <t>Design, development and evaluation of a human-computer trust scale</t>
  </si>
  <si>
    <t>Behaviour and Information Technology</t>
  </si>
  <si>
    <t>10.1080/0144929X.2019.1656779</t>
  </si>
  <si>
    <t>https://www.scopus.com/pages/publications/85071692315?origin=resultslist</t>
  </si>
  <si>
    <t>2-s2.0-85071692315</t>
  </si>
  <si>
    <t>Wang W.; Na X.; Cao D.; Gong J.; Xi J.; Xing Y.; Wang F.-Y.</t>
  </si>
  <si>
    <t>Decision-making in driver-automation shared control: A review and perspectives</t>
  </si>
  <si>
    <t>IEEE/CAA Journal of Automatica Sinica</t>
  </si>
  <si>
    <t>10.1109/JAS.2020.1003294</t>
  </si>
  <si>
    <t>https://www.scopus.com/pages/publications/85089299779?origin=resultslist</t>
  </si>
  <si>
    <t>2-s2.0-85089299779</t>
  </si>
  <si>
    <t>Sajjan M.; Li J.; Selvarajan R.; Sureshbabu S.H.; Kale S.S.; Gupta R.; Singh V.; Kais S.</t>
  </si>
  <si>
    <t>Quantum machine learning for chemistry and physics</t>
  </si>
  <si>
    <t>Chemical Society Reviews</t>
  </si>
  <si>
    <t>10.1039/d2cs00203e</t>
  </si>
  <si>
    <t>https://www.scopus.com/pages/publications/85135501667?origin=resultslist</t>
  </si>
  <si>
    <t>2-s2.0-85135501667</t>
  </si>
  <si>
    <t>Troshani I.; Rao Hill S.; Sherman C.; Arthur D.</t>
  </si>
  <si>
    <t>Do We Trust in AI? Role of Anthropomorphism and Intelligence</t>
  </si>
  <si>
    <t>Journal of Computer Information Systems</t>
  </si>
  <si>
    <t>10.1080/08874417.2020.1788473</t>
  </si>
  <si>
    <t>https://www.scopus.com/pages/publications/85089290723?origin=resultslist</t>
  </si>
  <si>
    <t>2-s2.0-85089290723</t>
  </si>
  <si>
    <t>Gesk T.S.; Leyer M.</t>
  </si>
  <si>
    <t>Artificial intelligence in public services: When and why citizens accept its usage</t>
  </si>
  <si>
    <t>10.1016/j.giq.2022.101704</t>
  </si>
  <si>
    <t>https://www.scopus.com/pages/publications/85127463083?origin=resultslist</t>
  </si>
  <si>
    <t>2-s2.0-85127463083</t>
  </si>
  <si>
    <t>Yin M.; Jiang S.; Niu X.</t>
  </si>
  <si>
    <t>Can AI really help? The double-edged sword effect of AI assistant on employees’ innovation behavior</t>
  </si>
  <si>
    <t>10.1016/j.chb.2023.107987</t>
  </si>
  <si>
    <t>https://www.scopus.com/pages/publications/85174833809?origin=resultslist</t>
  </si>
  <si>
    <t>2-s2.0-85174833809</t>
  </si>
  <si>
    <t>Bendiab G.; Hameurlaine A.; Germanos G.; Kolokotronis N.; Shiaeles S.</t>
  </si>
  <si>
    <t>Autonomous Vehicles Security: Challenges and Solutions Using Blockchain and Artificial Intelligence</t>
  </si>
  <si>
    <t>10.1109/TITS.2023.3236274</t>
  </si>
  <si>
    <t>https://www.scopus.com/pages/publications/85147277493?origin=resultslist</t>
  </si>
  <si>
    <t>2-s2.0-85147277493</t>
  </si>
  <si>
    <t>Liu H.; Wang Y.; Fan W.; Liu X.; Li Y.; Jain S.; Liu Y.; Jain A.; Tang J.</t>
  </si>
  <si>
    <t>Trustworthy AI: A Computational Perspective</t>
  </si>
  <si>
    <t>ACM Transactions on Intelligent Systems and Technology</t>
  </si>
  <si>
    <t>10.1145/3546872</t>
  </si>
  <si>
    <t>https://www.scopus.com/pages/publications/85149731731?origin=resultslist</t>
  </si>
  <si>
    <t>2-s2.0-85149731731</t>
  </si>
  <si>
    <t>De Freitas J.; Agarwal S.; Schmitt B.; Haslam N.</t>
  </si>
  <si>
    <t>Psychological factors underlying attitudes toward AI tools</t>
  </si>
  <si>
    <t>10.1038/s41562-023-01734-2</t>
  </si>
  <si>
    <t>https://www.scopus.com/pages/publications/85177063330?origin=resultslist</t>
  </si>
  <si>
    <t>2-s2.0-85177063330</t>
  </si>
  <si>
    <t>Liopyris K.; Gregoriou S.; Dias J.; Stratigos A.J.</t>
  </si>
  <si>
    <t>Artificial Intelligence in Dermatology: Challenges and Perspectives</t>
  </si>
  <si>
    <t>Dermatology and Therapy</t>
  </si>
  <si>
    <t>10.1007/s13555-022-00833-8</t>
  </si>
  <si>
    <t>https://www.scopus.com/pages/publications/85140994531?origin=resultslist</t>
  </si>
  <si>
    <t>2-s2.0-85140994531</t>
  </si>
  <si>
    <t>Haeuslschmid R.; Von Buelow M.; Pfleging B.; Butz A.</t>
  </si>
  <si>
    <t>Supporting trust in autonomous driving</t>
  </si>
  <si>
    <t>10.1145/3025171.3025198</t>
  </si>
  <si>
    <t>https://www.scopus.com/pages/publications/85016490867?origin=resultslist</t>
  </si>
  <si>
    <t>2-s2.0-85016490867</t>
  </si>
  <si>
    <t>Saleem R.; Yuan B.; Kurugollu F.; Anjum A.; Liu L.</t>
  </si>
  <si>
    <t>Explaining deep neural networks: A survey on the global interpretation methods</t>
  </si>
  <si>
    <t>Neurocomputing</t>
  </si>
  <si>
    <t>10.1016/j.neucom.2022.09.129</t>
  </si>
  <si>
    <t>https://www.scopus.com/pages/publications/85139035721?origin=resultslist</t>
  </si>
  <si>
    <t>2-s2.0-85139035721</t>
  </si>
  <si>
    <t>Benvenuti M.; Cangelosi A.; Weinberger A.; Mazzoni E.; Benassi M.; Barbaresi M.; Orsoni M.</t>
  </si>
  <si>
    <t>Artificial intelligence and human behavioral development: A perspective on new skills and competences acquisition for the educational context</t>
  </si>
  <si>
    <t>10.1016/j.chb.2023.107903</t>
  </si>
  <si>
    <t>https://www.scopus.com/pages/publications/85172478955?origin=resultslist</t>
  </si>
  <si>
    <t>2-s2.0-85172478955</t>
  </si>
  <si>
    <t>Lai V.; Chen C.; Smith-Renner A.; Liao Q.V.; Tan C.</t>
  </si>
  <si>
    <t>Towards a Science of Human-AI Decision Making: An Overview of Design Space in Empirical Human-Subject Studies</t>
  </si>
  <si>
    <t>10.1145/3593013.3594087</t>
  </si>
  <si>
    <t>https://www.scopus.com/pages/publications/85163666832?origin=resultslist</t>
  </si>
  <si>
    <t>2-s2.0-85163666832</t>
  </si>
  <si>
    <t>Miller T.</t>
  </si>
  <si>
    <t>Explainable AI is Dead, Long Live Explainable AI! Hypothesis-driven Decision Support using Evaluative AI</t>
  </si>
  <si>
    <t>10.1145/3593013.3594001</t>
  </si>
  <si>
    <t>https://www.scopus.com/pages/publications/85163660057?origin=resultslist</t>
  </si>
  <si>
    <t>2-s2.0-85163660057</t>
  </si>
  <si>
    <t>Saura J.R.; Ribeiro-Soriano D.; Palacios-Marqués D.</t>
  </si>
  <si>
    <t>Assessing behavioral data science privacy issues in government artificial intelligence deployment</t>
  </si>
  <si>
    <t>10.1016/j.giq.2022.101679</t>
  </si>
  <si>
    <t>https://www.scopus.com/pages/publications/85126151026?origin=resultslist</t>
  </si>
  <si>
    <t>2-s2.0-85126151026</t>
  </si>
  <si>
    <t>Klingbeil A.; Grützner C.; Schreck P.</t>
  </si>
  <si>
    <t>Trust and reliance on AI — An experimental study on the extent and costs of overreliance on AI</t>
  </si>
  <si>
    <t>10.1016/j.chb.2024.108352</t>
  </si>
  <si>
    <t>https://www.scopus.com/pages/publications/85199701123?origin=resultslist</t>
  </si>
  <si>
    <t>2-s2.0-85199701123</t>
  </si>
  <si>
    <t>Liu N.; Nikitas A.; Parkinson S.</t>
  </si>
  <si>
    <t>Exploring expert perceptions about the cyber security and privacy of Connected and Autonomous Vehicles: A thematic analysis approach</t>
  </si>
  <si>
    <t>10.1016/j.trf.2020.09.019</t>
  </si>
  <si>
    <t>https://www.scopus.com/pages/publications/85093655086?origin=resultslist</t>
  </si>
  <si>
    <t>2-s2.0-85093655086</t>
  </si>
  <si>
    <t>Akash K.; Hu W.-L.; Jain N.; Reid T.</t>
  </si>
  <si>
    <t>A classification model for sensing human trust in machines using EEG and GSR</t>
  </si>
  <si>
    <t>10.1145/3132743</t>
  </si>
  <si>
    <t>https://www.scopus.com/pages/publications/85052551737?origin=resultslist</t>
  </si>
  <si>
    <t>2-s2.0-85052551737</t>
  </si>
  <si>
    <t>Khrais L.T.</t>
  </si>
  <si>
    <t>Role of artificial intelligence in shaping consumer demand in e-commerce</t>
  </si>
  <si>
    <t>Future Internet</t>
  </si>
  <si>
    <t>10.3390/fi12120226</t>
  </si>
  <si>
    <t>https://www.scopus.com/pages/publications/85097546728?origin=resultslist</t>
  </si>
  <si>
    <t>2-s2.0-85097546728</t>
  </si>
  <si>
    <t>Nordhoff S.; Kyriakidis M.; van Arem B.; Happee R.</t>
  </si>
  <si>
    <t>A multi-level model on automated vehicle acceptance (MAVA): a review-based study</t>
  </si>
  <si>
    <t>10.1080/1463922X.2019.1621406</t>
  </si>
  <si>
    <t>https://www.scopus.com/pages/publications/85072024696?origin=resultslist</t>
  </si>
  <si>
    <t>2-s2.0-85072024696</t>
  </si>
  <si>
    <t>Molnar L.J.; Ryan L.H.; Pradhan A.K.; Eby D.W.; St. Louis R.M.; Zakrajsek J.S.</t>
  </si>
  <si>
    <t>Understanding trust and acceptance of automated vehicles: An exploratory simulator study of transfer of control between automated and manual driving</t>
  </si>
  <si>
    <t>10.1016/j.trf.2018.06.004</t>
  </si>
  <si>
    <t>https://www.scopus.com/pages/publications/85049102071?origin=resultslist</t>
  </si>
  <si>
    <t>2-s2.0-85049102071</t>
  </si>
  <si>
    <t>Payre W.; Cestac J.; Delhomme P.</t>
  </si>
  <si>
    <t>Fully Automated Driving: Impact of Trust and Practice on Manual Control Recovery</t>
  </si>
  <si>
    <t>10.1177/0018720815612319</t>
  </si>
  <si>
    <t>https://www.scopus.com/pages/publications/84958984172?origin=resultslist</t>
  </si>
  <si>
    <t>2-s2.0-84958984172</t>
  </si>
  <si>
    <t>Hu Z.; Lou S.; Xing Y.; Wang X.; Cao D.; Lv C.</t>
  </si>
  <si>
    <t>Review and Perspectives on Driver Digital Twin and Its Enabling Technologies for Intelligent Vehicles</t>
  </si>
  <si>
    <t>IEEE Transactions on Intelligent Vehicles</t>
  </si>
  <si>
    <t>10.1109/TIV.2022.3195635</t>
  </si>
  <si>
    <t>https://www.scopus.com/pages/publications/85135736888?origin=resultslist</t>
  </si>
  <si>
    <t>2-s2.0-85135736888</t>
  </si>
  <si>
    <t>Afroogh S.; Akbari A.; Malone E.; Kargar M.; Alambeigi H.</t>
  </si>
  <si>
    <t>Trust in AI: progress, challenges, and future directions</t>
  </si>
  <si>
    <t>Humanities and Social Sciences Communications</t>
  </si>
  <si>
    <t>10.1057/s41599-024-04044-8</t>
  </si>
  <si>
    <t>https://www.scopus.com/pages/publications/85209564808?origin=resultslist</t>
  </si>
  <si>
    <t>2-s2.0-85209564808</t>
  </si>
  <si>
    <t>Aw E.C.-X.; Tan G.W.-H.; Cham T.-H.; Raman R.; Ooi K.-B.</t>
  </si>
  <si>
    <t>Alexa, what's on my shopping list? Transforming customer experience with digital voice assistants</t>
  </si>
  <si>
    <t>10.1016/j.techfore.2022.121711</t>
  </si>
  <si>
    <t>https://www.scopus.com/pages/publications/85129255112?origin=resultslist</t>
  </si>
  <si>
    <t>2-s2.0-85129255112</t>
  </si>
  <si>
    <t>Park J.; Amendah E.; Lee Y.; Hyun H.</t>
  </si>
  <si>
    <t>M-payment service: Interplay of perceived risk, benefit, and trust in service adoption</t>
  </si>
  <si>
    <t>Human Factors and Ergonomics In Manufacturing</t>
  </si>
  <si>
    <t>10.1002/hfm.20750</t>
  </si>
  <si>
    <t>https://www.scopus.com/pages/publications/85050634839?origin=resultslist</t>
  </si>
  <si>
    <t>2-s2.0-85050634839</t>
  </si>
  <si>
    <t>Du N.; Zhou F.; Pulver E.M.; Tilbury D.M.; Robert L.P.; Pradhan A.K.; Yang X.J.</t>
  </si>
  <si>
    <t>Examining the effects of emotional valence and arousal on takeover performance in conditionally automated driving</t>
  </si>
  <si>
    <t>10.1016/j.trc.2020.01.006</t>
  </si>
  <si>
    <t>https://www.scopus.com/pages/publications/85078422859?origin=resultslist</t>
  </si>
  <si>
    <t>2-s2.0-85078422859</t>
  </si>
  <si>
    <t>Angerschmid A.; Zhou J.; Theuermann K.; Chen F.; Holzinger A.</t>
  </si>
  <si>
    <t>Fairness and Explanation in AI-Informed Decision Making</t>
  </si>
  <si>
    <t>Machine Learning and Knowledge Extraction</t>
  </si>
  <si>
    <t>10.3390/make4020026</t>
  </si>
  <si>
    <t>https://www.scopus.com/pages/publications/85137274188?origin=resultslist</t>
  </si>
  <si>
    <t>2-s2.0-85137274188</t>
  </si>
  <si>
    <t>Rupp M.A.; Michaelis J.R.; McConnell D.S.; Smither J.A.</t>
  </si>
  <si>
    <t>The role of individual differences on perceptions of wearable fitness device trust, usability, and motivational impact</t>
  </si>
  <si>
    <t>10.1016/j.apergo.2018.02.005</t>
  </si>
  <si>
    <t>https://www.scopus.com/pages/publications/85042292772?origin=resultslist</t>
  </si>
  <si>
    <t>2-s2.0-85042292772</t>
  </si>
  <si>
    <t>Tao Y.; Viberg O.; Baker R.S.; Kizilcec R.F.</t>
  </si>
  <si>
    <t>Cultural bias and cultural alignment of large language models</t>
  </si>
  <si>
    <t>PNAS Nexus</t>
  </si>
  <si>
    <t>pgae346</t>
  </si>
  <si>
    <t>10.1093/pnasnexus/pgae346</t>
  </si>
  <si>
    <t>https://www.scopus.com/pages/publications/85205497414?origin=resultslist</t>
  </si>
  <si>
    <t>2-s2.0-85205497414</t>
  </si>
  <si>
    <t>Diederich S.; Brendel A.B.; Kolbe L.M.</t>
  </si>
  <si>
    <t>Designing Anthropomorphic Enterprise Conversational Agents</t>
  </si>
  <si>
    <t>10.1007/s12599-020-00639-y</t>
  </si>
  <si>
    <t>https://www.scopus.com/pages/publications/85081932473?origin=resultslist</t>
  </si>
  <si>
    <t>2-s2.0-85081932473</t>
  </si>
  <si>
    <t>Weitz K.; Schiller D.; Schlagowski R.; Huber T.; André E.</t>
  </si>
  <si>
    <t>I"do you trust me?": Increasing User-Trust by Integrating Virtual Agents in Explainable AI Interaction Design</t>
  </si>
  <si>
    <t>IVA 2019 - Proceedings of the 19th ACM International Conference on Intelligent Virtual Agents</t>
  </si>
  <si>
    <t>10.1145/3308532.3329441</t>
  </si>
  <si>
    <t>https://www.scopus.com/pages/publications/85069666626?origin=resultslist</t>
  </si>
  <si>
    <t>2-s2.0-85069666626</t>
  </si>
  <si>
    <t>Klumpp M.</t>
  </si>
  <si>
    <t>Automation and artificial intelligence in business logistics systems: human reactions and collaboration requirements</t>
  </si>
  <si>
    <t>International Journal of Logistics Research and Applications</t>
  </si>
  <si>
    <t>10.1080/13675567.2017.1384451</t>
  </si>
  <si>
    <t>https://www.scopus.com/pages/publications/85030539014?origin=resultslist</t>
  </si>
  <si>
    <t>2-s2.0-85030539014</t>
  </si>
  <si>
    <t>Langer A.; Feingold-Polak R.; Mueller O.; Kellmeyer P.; Levy-Tzedek S.</t>
  </si>
  <si>
    <t>Trust in socially assistive robots: Considerations for use in rehabilitation</t>
  </si>
  <si>
    <t>Neuroscience and Biobehavioral Reviews</t>
  </si>
  <si>
    <t>10.1016/j.neubiorev.2019.07.014</t>
  </si>
  <si>
    <t>https://www.scopus.com/pages/publications/85069704029?origin=resultslist</t>
  </si>
  <si>
    <t>2-s2.0-85069704029</t>
  </si>
  <si>
    <t>Ogonji M.M.; Okeyo G.; Wafula J.M.</t>
  </si>
  <si>
    <t>A survey on privacy and security of Internet of Things</t>
  </si>
  <si>
    <t>Computer Science Review</t>
  </si>
  <si>
    <t>10.1016/j.cosrev.2020.100312</t>
  </si>
  <si>
    <t>https://www.scopus.com/pages/publications/85097488342?origin=resultslist</t>
  </si>
  <si>
    <t>2-s2.0-85097488342</t>
  </si>
  <si>
    <t>Yang F.; Huang Z.; Scholtz J.; Arendt D.L.</t>
  </si>
  <si>
    <t>How do visual explanations foster end users' appropriate trust in machine learning?</t>
  </si>
  <si>
    <t>10.1145/3377325.3377480</t>
  </si>
  <si>
    <t>https://www.scopus.com/pages/publications/85082506595?origin=resultslist</t>
  </si>
  <si>
    <t>2-s2.0-85082506595</t>
  </si>
  <si>
    <t>Kunkel J.; Donkers T.; Michael L.; Barbu C.-M.; Ziegler J.</t>
  </si>
  <si>
    <t>Let me explain: Impact of personal and impersonal explanations on trust in recommender systems</t>
  </si>
  <si>
    <t>10.1145/3290605.3300717</t>
  </si>
  <si>
    <t>https://www.scopus.com/pages/publications/85067605849?origin=resultslist</t>
  </si>
  <si>
    <t>2-s2.0-85067605849</t>
  </si>
  <si>
    <t>Chong L.; Zhang G.; Goucher-Lambert K.; Kotovsky K.; Cagan J.</t>
  </si>
  <si>
    <t>Human confidence in artificial intelligence and in themselves: The evolution and impact of confidence on adoption of AI advice</t>
  </si>
  <si>
    <t>10.1016/j.chb.2021.107018</t>
  </si>
  <si>
    <t>https://www.scopus.com/pages/publications/85115023302?origin=resultslist</t>
  </si>
  <si>
    <t>2-s2.0-85115023302</t>
  </si>
  <si>
    <t>Ribeiro M.A.; Gursoy D.; Chi O.H.</t>
  </si>
  <si>
    <t>Customer Acceptance of Autonomous Vehicles in Travel and Tourism</t>
  </si>
  <si>
    <t>Journal of Travel Research</t>
  </si>
  <si>
    <t>10.1177/0047287521993578</t>
  </si>
  <si>
    <t>https://www.scopus.com/pages/publications/85101914299?origin=resultslist</t>
  </si>
  <si>
    <t>2-s2.0-85101914299</t>
  </si>
  <si>
    <t>Balakrishnan J.; Dwivedi Y.K.</t>
  </si>
  <si>
    <t>Role of cognitive absorption in building user trust and experience</t>
  </si>
  <si>
    <t>10.1002/mar.21462</t>
  </si>
  <si>
    <t>https://www.scopus.com/pages/publications/85101424299?origin=resultslist</t>
  </si>
  <si>
    <t>2-s2.0-85101424299</t>
  </si>
  <si>
    <t>Morra L.; Lamberti F.; Gabriele Prattico F.; Rosa S.L.; Montuschi P.</t>
  </si>
  <si>
    <t>Building Trust in Autonomous Vehicles: Role of Virtual Reality Driving Simulators in HMI Design</t>
  </si>
  <si>
    <t>IEEE Transactions on Vehicular Technology</t>
  </si>
  <si>
    <t>10.1109/TVT.2019.2933601</t>
  </si>
  <si>
    <t>https://www.scopus.com/pages/publications/85074133005?origin=resultslist</t>
  </si>
  <si>
    <t>2-s2.0-85074133005</t>
  </si>
  <si>
    <t>Sætra H.S.</t>
  </si>
  <si>
    <t>A framework for evaluating and disclosing the esg related impacts of ai with the sdgs</t>
  </si>
  <si>
    <t>10.3390/su13158503</t>
  </si>
  <si>
    <t>https://www.scopus.com/pages/publications/85111997161?origin=resultslist</t>
  </si>
  <si>
    <t>2-s2.0-85111997161</t>
  </si>
  <si>
    <t>Lee M.K.; Baykal S.</t>
  </si>
  <si>
    <t>Algorithmic mediation in group decisions: Fairness perceptions of algorithmically mediated vs. discussion-based social division</t>
  </si>
  <si>
    <t>Proceedings of the ACM Conference on Computer Supported Cooperative Work, CSCW</t>
  </si>
  <si>
    <t>10.1145/2998181.2998230</t>
  </si>
  <si>
    <t>https://www.scopus.com/pages/publications/85014787300?origin=resultslist</t>
  </si>
  <si>
    <t>2-s2.0-85014787300</t>
  </si>
  <si>
    <t>Hou Y.; Zhang K.; Li G.</t>
  </si>
  <si>
    <t>Service robots or human staff: How social crowding shapes tourist preferences</t>
  </si>
  <si>
    <t>10.1016/j.tourman.2020.104242</t>
  </si>
  <si>
    <t>https://www.scopus.com/pages/publications/85092943616?origin=resultslist</t>
  </si>
  <si>
    <t>2-s2.0-85092943616</t>
  </si>
  <si>
    <t>Borau S.; Otterbring T.; Laporte S.; Fosso Wamba S.</t>
  </si>
  <si>
    <t>The most human bot: Female gendering increases humanness perceptions of bots and acceptance of AI</t>
  </si>
  <si>
    <t>10.1002/mar.21480</t>
  </si>
  <si>
    <t>https://www.scopus.com/pages/publications/85102815956?origin=resultslist</t>
  </si>
  <si>
    <t>2-s2.0-85102815956</t>
  </si>
  <si>
    <t>Hortensius R.; Hekele F.; Cross E.S.</t>
  </si>
  <si>
    <t>The Perception of Emotion in Artificial Agents</t>
  </si>
  <si>
    <t>IEEE Transactions on Cognitive and Developmental Systems</t>
  </si>
  <si>
    <t>10.1109/TCDS.2018.2826921</t>
  </si>
  <si>
    <t>https://www.scopus.com/pages/publications/85054654173?origin=resultslist</t>
  </si>
  <si>
    <t>2-s2.0-85054654173</t>
  </si>
  <si>
    <t>Clark H.; Feng J.</t>
  </si>
  <si>
    <t>Age differences in the takeover of vehicle control and engagement in non-driving-related activities in simulated driving with conditional automation</t>
  </si>
  <si>
    <t>10.1016/j.aap.2016.08.027</t>
  </si>
  <si>
    <t>https://www.scopus.com/pages/publications/84995549544?origin=resultslist</t>
  </si>
  <si>
    <t>2-s2.0-84995549544</t>
  </si>
  <si>
    <t>Vorm E.S.; Combs D.J.Y.</t>
  </si>
  <si>
    <t>Integrating Transparency, Trust, and Acceptance: The Intelligent Systems Technology Acceptance Model (ISTAM)</t>
  </si>
  <si>
    <t>18-20</t>
  </si>
  <si>
    <t>10.1080/10447318.2022.2070107</t>
  </si>
  <si>
    <t>https://www.scopus.com/pages/publications/85130928576?origin=resultslist</t>
  </si>
  <si>
    <t>2-s2.0-85130928576</t>
  </si>
  <si>
    <t>Yigitcanlar T.; Corchado J.M.; Mehmood R.; Li R.Y.M.; Mossberger K.; Desouza K.</t>
  </si>
  <si>
    <t>Responsible urban innovation with local government artificial intelligence (Ai): A conceptual framework and research agenda</t>
  </si>
  <si>
    <t>Journal of Open Innovation: Technology, Market, and Complexity</t>
  </si>
  <si>
    <t>10.3390/joitmc7010071</t>
  </si>
  <si>
    <t>https://www.scopus.com/pages/publications/85102286778?origin=resultslist</t>
  </si>
  <si>
    <t>2-s2.0-85102286778</t>
  </si>
  <si>
    <t>Wang W.; Benbasat I.</t>
  </si>
  <si>
    <t>Empirical Assessment of Alternative Designs for Enhancing Different Types of Trusting Beliefs in Online Recommendation Agents</t>
  </si>
  <si>
    <t>Journal of Management Information Systems</t>
  </si>
  <si>
    <t>10.1080/07421222.2016.1243949</t>
  </si>
  <si>
    <t>https://www.scopus.com/pages/publications/85002692647?origin=resultslist</t>
  </si>
  <si>
    <t>2-s2.0-85002692647</t>
  </si>
  <si>
    <t>Charlwood A.; Guenole N.</t>
  </si>
  <si>
    <t>Can HR adapt to the paradoxes of artificial intelligence?</t>
  </si>
  <si>
    <t>Human Resource Management Journal</t>
  </si>
  <si>
    <t>10.1111/1748-8583.12433</t>
  </si>
  <si>
    <t>https://www.scopus.com/pages/publications/85122494941?origin=resultslist</t>
  </si>
  <si>
    <t>2-s2.0-85122494941</t>
  </si>
  <si>
    <t>Gaudiello I.; Zibetti E.; Lefort S.; Chetouani M.; Ivaldi S.</t>
  </si>
  <si>
    <t>Trust as indicator of robot functional and social acceptance. An experimental study on user conformation to iCub answers</t>
  </si>
  <si>
    <t>10.1016/j.chb.2016.03.057</t>
  </si>
  <si>
    <t>https://www.scopus.com/pages/publications/84961958101?origin=resultslist</t>
  </si>
  <si>
    <t>2-s2.0-84961958101</t>
  </si>
  <si>
    <t>Coghlan S.; Miller T.; Paterson J.</t>
  </si>
  <si>
    <t>Good Proctor or “Big Brother”? Ethics of Online Exam Supervision Technologies</t>
  </si>
  <si>
    <t>Philosophy and Technology</t>
  </si>
  <si>
    <t>10.1007/s13347-021-00476-1</t>
  </si>
  <si>
    <t>https://www.scopus.com/pages/publications/85114670734?origin=resultslist</t>
  </si>
  <si>
    <t>2-s2.0-85114670734</t>
  </si>
  <si>
    <t>Gupta A.; Dash S.; Mishra A.</t>
  </si>
  <si>
    <t>All that glitters is not green: Creating trustworthy ecofriendly services at green hotels</t>
  </si>
  <si>
    <t>10.1016/j.tourman.2018.08.015</t>
  </si>
  <si>
    <t>https://www.scopus.com/pages/publications/85052054745?origin=resultslist</t>
  </si>
  <si>
    <t>2-s2.0-85052054745</t>
  </si>
  <si>
    <t>Louw T.; Merat N.</t>
  </si>
  <si>
    <t>Are you in the loop? Using gaze dispersion to understand driver visual attention during vehicle automation</t>
  </si>
  <si>
    <t>10.1016/j.trc.2017.01.001</t>
  </si>
  <si>
    <t>https://www.scopus.com/pages/publications/85008929683?origin=resultslist</t>
  </si>
  <si>
    <t>2-s2.0-85008929683</t>
  </si>
  <si>
    <t>Hancock P.A.; Kessler T.T.; Kaplan A.D.; Brill J.C.; Szalma J.L.</t>
  </si>
  <si>
    <t>Evolving Trust in Robots: Specification Through Sequential and Comparative Meta-Analyses</t>
  </si>
  <si>
    <t>10.1177/0018720820922080</t>
  </si>
  <si>
    <t>https://www.scopus.com/pages/publications/85086255999?origin=resultslist</t>
  </si>
  <si>
    <t>2-s2.0-85086255999</t>
  </si>
  <si>
    <t>Stein J.-P.; Messingschlager T.; Gnambs T.; Hutmacher F.; Appel M.</t>
  </si>
  <si>
    <t>Attitudes towards AI: measurement and associations with personality</t>
  </si>
  <si>
    <t>Scientific Reports</t>
  </si>
  <si>
    <t>10.1038/s41598-024-53335-2</t>
  </si>
  <si>
    <t>https://www.scopus.com/pages/publications/85184414357?origin=resultslist</t>
  </si>
  <si>
    <t>2-s2.0-85184414357</t>
  </si>
  <si>
    <t>Ferrario A.; Loi M.</t>
  </si>
  <si>
    <t>How Explainability Contributes to Trust in AI</t>
  </si>
  <si>
    <t>10.1145/3531146.3533202</t>
  </si>
  <si>
    <t>https://www.scopus.com/pages/publications/85133005705?origin=resultslist</t>
  </si>
  <si>
    <t>2-s2.0-85133005705</t>
  </si>
  <si>
    <t>Kunze A.; Summerskill S.J.; Marshall R.; Filtness A.J.</t>
  </si>
  <si>
    <t>Automation transparency: implications of uncertainty communication for human-automation interaction and interfaces</t>
  </si>
  <si>
    <t>10.1080/00140139.2018.1547842</t>
  </si>
  <si>
    <t>https://www.scopus.com/pages/publications/85061194212?origin=resultslist</t>
  </si>
  <si>
    <t>2-s2.0-85061194212</t>
  </si>
  <si>
    <t>Schramowski P.; Stammer W.; Teso S.; Brugger A.; Herbert F.; Shao X.; Luigs H.-G.; Mahlein A.-K.; Kersting K.</t>
  </si>
  <si>
    <t>Making deep neural networks right for the right scientific reasons by interacting with their explanations</t>
  </si>
  <si>
    <t>Nature Machine Intelligence</t>
  </si>
  <si>
    <t>10.1038/s42256-020-0212-3</t>
  </si>
  <si>
    <t>https://www.scopus.com/pages/publications/85089382514?origin=resultslist</t>
  </si>
  <si>
    <t>2-s2.0-85089382514</t>
  </si>
  <si>
    <t>Tomsett R.; Preece A.; Braines D.; Cerutti F.; Chakraborty S.; Srivastava M.; Pearson G.; Kaplan L.</t>
  </si>
  <si>
    <t>Rapid Trust Calibration through Interpretable and Uncertainty-Aware AI</t>
  </si>
  <si>
    <t>Patterns</t>
  </si>
  <si>
    <t>10.1016/j.patter.2020.100049</t>
  </si>
  <si>
    <t>https://www.scopus.com/pages/publications/85090277691?origin=resultslist</t>
  </si>
  <si>
    <t>2-s2.0-85090277691</t>
  </si>
  <si>
    <t>Bhatt U.; Antorán J.; Zhang Y.; Liao Q.V.; Sattigeri P.; Fogliato R.; Melançon G.; Krishnan R.; Stanley J.; Tickoo O.; Nachman L.; Chunara R.; Srikumar M.; Weller A.; Xiang A.</t>
  </si>
  <si>
    <t>Uncertainty as a Form of Transparency: Measuring, Communicating, and Using Uncertainty</t>
  </si>
  <si>
    <t>AIES 2021 - Proceedings of the 2021 AAAI/ACM Conference on AI, Ethics, and Society</t>
  </si>
  <si>
    <t>10.1145/3461702.3462571</t>
  </si>
  <si>
    <t>https://www.scopus.com/pages/publications/85108301390?origin=resultslist</t>
  </si>
  <si>
    <t>2-s2.0-85108301390</t>
  </si>
  <si>
    <t>Predicting driver takeover performance in conditionally automated driving</t>
  </si>
  <si>
    <t>10.1016/j.aap.2020.105748</t>
  </si>
  <si>
    <t>https://www.scopus.com/pages/publications/85093644827?origin=resultslist</t>
  </si>
  <si>
    <t>2-s2.0-85093644827</t>
  </si>
  <si>
    <t>Paddeu D.; Parkhurst G.; Shergold I.</t>
  </si>
  <si>
    <t>Passenger comfort and trust on first-time use of a shared autonomous shuttle vehicle</t>
  </si>
  <si>
    <t>10.1016/j.trc.2020.02.026</t>
  </si>
  <si>
    <t>https://www.scopus.com/pages/publications/85082391144?origin=resultslist</t>
  </si>
  <si>
    <t>2-s2.0-85082391144</t>
  </si>
  <si>
    <t>Gombolay M.; Bair A.; Huang C.; Shah J.</t>
  </si>
  <si>
    <t>Computational design of mixed-initiative human–robot teaming that considers human factors: situational awareness, workload, and workflow preferences</t>
  </si>
  <si>
    <t>International Journal of Robotics Research</t>
  </si>
  <si>
    <t>10.1177/0278364916688255</t>
  </si>
  <si>
    <t>https://www.scopus.com/pages/publications/85044055607?origin=resultslist</t>
  </si>
  <si>
    <t>2-s2.0-85044055607</t>
  </si>
  <si>
    <t>Ekman F.; Johansson M.; Sochor J.</t>
  </si>
  <si>
    <t>Creating appropriate trust in automated vehicle systems: A framework for HMI design</t>
  </si>
  <si>
    <t>10.1109/THMS.2017.2776209</t>
  </si>
  <si>
    <t>https://www.scopus.com/pages/publications/85037609872?origin=resultslist</t>
  </si>
  <si>
    <t>2-s2.0-85037609872</t>
  </si>
  <si>
    <t>Noy I.Y.; Shinar D.; Horrey W.J.</t>
  </si>
  <si>
    <t>Automated driving: Safety blind spots</t>
  </si>
  <si>
    <t>10.1016/j.ssci.2017.07.018</t>
  </si>
  <si>
    <t>https://www.scopus.com/pages/publications/85031761393?origin=resultslist</t>
  </si>
  <si>
    <t>2-s2.0-85031761393</t>
  </si>
  <si>
    <t>Sobb T.; Turnbull B.; Moustafa N.</t>
  </si>
  <si>
    <t>Supply chain 4.0: A survey of cyber security challenges, solutions and future directions</t>
  </si>
  <si>
    <t>10.3390/electronics9111864</t>
  </si>
  <si>
    <t>https://www.scopus.com/pages/publications/85095935369?origin=resultslist</t>
  </si>
  <si>
    <t>2-s2.0-85095935369</t>
  </si>
  <si>
    <t>Gerlich M.</t>
  </si>
  <si>
    <t>Perceptions and Acceptance of Artificial Intelligence: A Multi-Dimensional Study</t>
  </si>
  <si>
    <t>Social Sciences</t>
  </si>
  <si>
    <t>10.3390/socsci12090502</t>
  </si>
  <si>
    <t>https://www.scopus.com/pages/publications/85172093963?origin=resultslist</t>
  </si>
  <si>
    <t>2-s2.0-85172093963</t>
  </si>
  <si>
    <t>Mogaji E.; Nguyen N.P.</t>
  </si>
  <si>
    <t>Managers' understanding of artificial intelligence in relation to marketing financial services: insights from a cross-country study</t>
  </si>
  <si>
    <t>10.1108/IJBM-09-2021-0440</t>
  </si>
  <si>
    <t>https://www.scopus.com/pages/publications/85122124821?origin=resultslist</t>
  </si>
  <si>
    <t>2-s2.0-85122124821</t>
  </si>
  <si>
    <t>Baker A.L.; Phillips E.K.; Ullman D.; Keebler J.R.</t>
  </si>
  <si>
    <t>Toward an understanding of trust repair in human-robot interaction: Current research and future directions</t>
  </si>
  <si>
    <t>10.1145/3181671</t>
  </si>
  <si>
    <t>https://www.scopus.com/pages/publications/85057032964?origin=resultslist</t>
  </si>
  <si>
    <t>2-s2.0-85057032964</t>
  </si>
  <si>
    <t>Teso S.; Kersting K.</t>
  </si>
  <si>
    <t>Explanatory interactive machine learning</t>
  </si>
  <si>
    <t>AIES 2019 - Proceedings of the 2019 AAAI/ACM Conference on AI, Ethics, and Society</t>
  </si>
  <si>
    <t>10.1145/3306618.3314293</t>
  </si>
  <si>
    <t>https://www.scopus.com/pages/publications/85070583742?origin=resultslist</t>
  </si>
  <si>
    <t>2-s2.0-85070583742</t>
  </si>
  <si>
    <t>Herrenkind B.; Brendel A.B.; Nastjuk I.; Greve M.; Kolbe L.M.</t>
  </si>
  <si>
    <t>Investigating end-user acceptance of autonomous electric buses to accelerate diffusion</t>
  </si>
  <si>
    <t>Transportation Research Part D: Transport and Environment</t>
  </si>
  <si>
    <t>10.1016/j.trd.2019.08.003</t>
  </si>
  <si>
    <t>https://www.scopus.com/pages/publications/85070524303?origin=resultslist</t>
  </si>
  <si>
    <t>2-s2.0-85070524303</t>
  </si>
  <si>
    <t>Lalicic L.; Weismayer C.</t>
  </si>
  <si>
    <t>Consumers’ reasons and perceived value co-creation of using artificial intelligence-enabled travel service agents</t>
  </si>
  <si>
    <t>10.1016/j.jbusres.2020.11.005</t>
  </si>
  <si>
    <t>https://www.scopus.com/pages/publications/85099483182?origin=resultslist</t>
  </si>
  <si>
    <t>2-s2.0-85099483182</t>
  </si>
  <si>
    <t>Kolekar S.; de Winter J.; Abbink D.</t>
  </si>
  <si>
    <t>Human-like driving behaviour emerges from a risk-based driver model</t>
  </si>
  <si>
    <t xml:space="preserve">Nature Communications </t>
  </si>
  <si>
    <t>10.1038/s41467-020-18353-4</t>
  </si>
  <si>
    <t>https://www.scopus.com/pages/publications/85091716104?origin=resultslist</t>
  </si>
  <si>
    <t>2-s2.0-85091716104</t>
  </si>
  <si>
    <t>Bertrand A.; Belloum R.; Eagan J.R.; Maxwell W.</t>
  </si>
  <si>
    <t>How cognitive biases affect XAI-Assisted decision-making: A systematic review</t>
  </si>
  <si>
    <t>AIES 2022 - Proceedings of the 2022 AAAI/ACM Conference on AI, Ethics, and Society</t>
  </si>
  <si>
    <t>10.1145/3514094.3534164</t>
  </si>
  <si>
    <t>https://www.scopus.com/pages/publications/85137156399?origin=resultslist</t>
  </si>
  <si>
    <t>2-s2.0-85137156399</t>
  </si>
  <si>
    <t>Dirsehan T.; Can C.</t>
  </si>
  <si>
    <t>Examination of trust and sustainability concerns in autonomous vehicle adoption</t>
  </si>
  <si>
    <t>10.1016/j.techsoc.2020.101361</t>
  </si>
  <si>
    <t>https://www.scopus.com/pages/publications/85089946573?origin=resultslist</t>
  </si>
  <si>
    <t>2-s2.0-85089946573</t>
  </si>
  <si>
    <t>Einola K.; Khoreva V.</t>
  </si>
  <si>
    <t>Best friend or broken tool? Exploring the co-existence of humans and artificial intelligence in the workplace ecosystem</t>
  </si>
  <si>
    <t>Human Resource Management</t>
  </si>
  <si>
    <t>10.1002/hrm.22147</t>
  </si>
  <si>
    <t>https://www.scopus.com/pages/publications/85139441963?origin=resultslist</t>
  </si>
  <si>
    <t>2-s2.0-85139441963</t>
  </si>
  <si>
    <t>Höddinghaus M.; Sondern D.; Hertel G.</t>
  </si>
  <si>
    <t>The automation of leadership functions: Would people trust decision algorithms?</t>
  </si>
  <si>
    <t>10.1016/j.chb.2020.106635</t>
  </si>
  <si>
    <t>https://www.scopus.com/pages/publications/85098865213?origin=resultslist</t>
  </si>
  <si>
    <t>2-s2.0-85098865213</t>
  </si>
  <si>
    <t>Teodorescu M.H.M.; Morse L.; Awwad Y.; Kane G.C.</t>
  </si>
  <si>
    <t>Failures of fairness in automation require a deeper understanding of human–ml augmentation</t>
  </si>
  <si>
    <t>10.25300/MISQ/2021/16535</t>
  </si>
  <si>
    <t>https://www.scopus.com/pages/publications/85114681718?origin=resultslist</t>
  </si>
  <si>
    <t>2-s2.0-85114681718</t>
  </si>
  <si>
    <t>Di Flumeri G.; Borghini G.; Aricò P.; Sciaraffa N.; Lanzi P.; Pozzi S.; Vignali V.; Lantieri C.; Bichicchi A.; Simone A.; Babiloni F.</t>
  </si>
  <si>
    <t>EEG-based mental workload neurometric to evaluate the impact of different traffic and road conditions in real driving settings</t>
  </si>
  <si>
    <t>Frontiers in Human Neuroscience</t>
  </si>
  <si>
    <t>10.3389/fnhum.2018.00509</t>
  </si>
  <si>
    <t>https://www.scopus.com/pages/publications/85059003210?origin=resultslist</t>
  </si>
  <si>
    <t>2-s2.0-85059003210</t>
  </si>
  <si>
    <t>Kumar S.; Savur C.; Sahin F.</t>
  </si>
  <si>
    <t>Survey of Human-Robot Collaboration in Industrial Settings: Awareness, Intelligence, and Compliance</t>
  </si>
  <si>
    <t>IEEE Transactions on Systems, Man, and Cybernetics: Systems</t>
  </si>
  <si>
    <t>10.1109/TSMC.2020.3041231</t>
  </si>
  <si>
    <t>https://www.scopus.com/pages/publications/85098779553?origin=resultslist</t>
  </si>
  <si>
    <t>2-s2.0-85098779553</t>
  </si>
  <si>
    <t>Casner S.M.; Hutchins E.L.; Norman D.</t>
  </si>
  <si>
    <t>The challenges of partially automated driving</t>
  </si>
  <si>
    <t>Communications of the ACM</t>
  </si>
  <si>
    <t>10.1145/2830565</t>
  </si>
  <si>
    <t>https://www.scopus.com/pages/publications/84969142058?origin=resultslist</t>
  </si>
  <si>
    <t>2-s2.0-84969142058</t>
  </si>
  <si>
    <t>Bazilinskyy P.; Petermeijer S.M.; Petrovych V.; Dodou D.; de Winter J.C.F.</t>
  </si>
  <si>
    <t>Take-over requests in highly automated driving: A crowdsourcing survey on auditory, vibrotactile, and visual displays</t>
  </si>
  <si>
    <t>10.1016/j.trf.2018.04.001</t>
  </si>
  <si>
    <t>https://www.scopus.com/pages/publications/85045673057?origin=resultslist</t>
  </si>
  <si>
    <t>2-s2.0-85045673057</t>
  </si>
  <si>
    <t>He C.; Teng R.; Song J.</t>
  </si>
  <si>
    <t>Linking employees’ challenge-hindrance appraisals toward AI to service performance: the influences of job crafting, job insecurity and AI knowledge</t>
  </si>
  <si>
    <t>International Journal of Contemporary Hospitality Management</t>
  </si>
  <si>
    <t>10.1108/IJCHM-07-2022-0848</t>
  </si>
  <si>
    <t>https://www.scopus.com/pages/publications/85159939806?origin=resultslist</t>
  </si>
  <si>
    <t>2-s2.0-85159939806</t>
  </si>
  <si>
    <t>Lee H.-P.; Sarkar A.; Tankelevitch L.; Drosos I.; Rintel S.; Banks R.; Wilson N.</t>
  </si>
  <si>
    <t>The Impact of Generative AI on Critical Thinking: Self-Reported Reductions in Cognitive Effort and Confidence Effects From a Survey of Knowledge Workers</t>
  </si>
  <si>
    <t xml:space="preserve">Conference on Human Factors in Computing Systems - Proceedings </t>
  </si>
  <si>
    <t>10.1145/3706598.3713778</t>
  </si>
  <si>
    <t>https://www.scopus.com/pages/publications/105005752482?origin=resultslist</t>
  </si>
  <si>
    <t>2-s2.0-105005752482</t>
  </si>
  <si>
    <t>Hedström A.; Weber L.; Bareeva D.; Krakowczyk D.; Motzkus F.; Samek W.; Lapuschkin S.; Höhne M.M.-C.</t>
  </si>
  <si>
    <t>Quantus: An Explainable AI Toolkit for Responsible Evaluation of Neural Network Explanations and Beyond</t>
  </si>
  <si>
    <t>Journal of Machine Learning Research</t>
  </si>
  <si>
    <t>https://www.scopus.com/pages/publications/85213814650?origin=resultslist</t>
  </si>
  <si>
    <t>2-s2.0-85213814650</t>
  </si>
  <si>
    <t>Okamura K.; Yamada S.</t>
  </si>
  <si>
    <t>Adaptive trust calibration for human-AI collaboration</t>
  </si>
  <si>
    <t>e0229132</t>
  </si>
  <si>
    <t>10.1371/journal.pone.0229132</t>
  </si>
  <si>
    <t>https://www.scopus.com/pages/publications/85079669663?origin=resultslist</t>
  </si>
  <si>
    <t>2-s2.0-85079669663</t>
  </si>
  <si>
    <t>Dirks K.T.; De Jong B.</t>
  </si>
  <si>
    <t>Trust Within the Workplace: A Review of Two Waves of Research and a Glimpse of the Third</t>
  </si>
  <si>
    <t>Annual Review of Organizational Psychology and Organizational Behavior</t>
  </si>
  <si>
    <t>10.1146/annurev-orgpsych-012420-083025</t>
  </si>
  <si>
    <t>https://www.scopus.com/pages/publications/85123909916?origin=resultslist</t>
  </si>
  <si>
    <t>2-s2.0-85123909916</t>
  </si>
  <si>
    <t>Banks V.A.; Eriksson A.; O'Donoghue J.; Stanton N.A.</t>
  </si>
  <si>
    <t>Is partially automated driving a bad idea? Observations from an on-road study</t>
  </si>
  <si>
    <t>10.1016/j.apergo.2017.11.010</t>
  </si>
  <si>
    <t>https://www.scopus.com/pages/publications/85035324754?origin=resultslist</t>
  </si>
  <si>
    <t>2-s2.0-85035324754</t>
  </si>
  <si>
    <t>Sadrfaridpour B.; Wang Y.</t>
  </si>
  <si>
    <t>Collaborative Assembly in Hybrid Manufacturing Cells: An Integrated Framework for Human-Robot Interaction</t>
  </si>
  <si>
    <t>IEEE Transactions on Automation Science and Engineering</t>
  </si>
  <si>
    <t>10.1109/TASE.2017.2748386</t>
  </si>
  <si>
    <t>https://www.scopus.com/pages/publications/85030791171?origin=resultslist</t>
  </si>
  <si>
    <t>2-s2.0-85030791171</t>
  </si>
  <si>
    <t>Feder A.; Keith K.A.; Manzoor E.; Pryzant R.; Sridhar D.; Wood-Doughty Z.; Eisenstein J.; Grimmer J.; Reichart R.; Roberts M.E.; Stewart B.M.; Veitch V.; Yang D.</t>
  </si>
  <si>
    <t>Causal Inference in Natural Language Processing: Estimation, Prediction, Interpretation and Beyond</t>
  </si>
  <si>
    <t>10.1162/tacl_a_00511</t>
  </si>
  <si>
    <t>https://www.scopus.com/pages/publications/85140112450?origin=resultslist</t>
  </si>
  <si>
    <t>2-s2.0-85140112450</t>
  </si>
  <si>
    <t>Gladysz B.; Tran T.-A.; Romero D.; van Erp T.; Abonyi J.; Ruppert T.</t>
  </si>
  <si>
    <t>Current development on the Operator 4.0 and transition towards the Operator 5.0: A systematic literature review in light of Industry 5.0</t>
  </si>
  <si>
    <t>10.1016/j.jmsy.2023.07.008</t>
  </si>
  <si>
    <t>https://www.scopus.com/pages/publications/85166241727?origin=resultslist</t>
  </si>
  <si>
    <t>2-s2.0-85166241727</t>
  </si>
  <si>
    <t>Haesevoets T.; De Cremer D.; Dierckx K.; Van Hiel A.</t>
  </si>
  <si>
    <t>Human-machine collaboration in managerial decision making</t>
  </si>
  <si>
    <t>10.1016/j.chb.2021.106730</t>
  </si>
  <si>
    <t>https://www.scopus.com/pages/publications/85100756933?origin=resultslist</t>
  </si>
  <si>
    <t>2-s2.0-85100756933</t>
  </si>
  <si>
    <t>Zhang L.; Pentina I.; Fan Y.</t>
  </si>
  <si>
    <t>Who do you choose? Comparing perceptions of human vs robo-advisor in the context of financial services</t>
  </si>
  <si>
    <t>Journal of Services Marketing</t>
  </si>
  <si>
    <t>10.1108/JSM-05-2020-0162</t>
  </si>
  <si>
    <t>https://www.scopus.com/pages/publications/85100218704?origin=resultslist</t>
  </si>
  <si>
    <t>2-s2.0-85100218704</t>
  </si>
  <si>
    <t>Vereschak O.; Bailly G.; Caramiaux B.</t>
  </si>
  <si>
    <t>How to Evaluate Trust in AI-Assisted Decision Making? A Survey of Empirical Methodologies</t>
  </si>
  <si>
    <t>CSCW2</t>
  </si>
  <si>
    <t>10.1145/3476068</t>
  </si>
  <si>
    <t>https://www.scopus.com/pages/publications/85117886376?origin=resultslist</t>
  </si>
  <si>
    <t>2-s2.0-85117886376</t>
  </si>
  <si>
    <t>Choi H.S.; Crump C.; Duriez C.; Elmquist A.; Hager G.; Han D.; Hearl F.; Hodgins J.; Jain A.; Leve F.; Li C.; Meier F.; Negrut D.; Righetti L.; Rodriguez A.; Tan J.; Trinkle J.</t>
  </si>
  <si>
    <t>On the use of simulation in robotics: Opportunities, challenges, and suggestions formoving forward</t>
  </si>
  <si>
    <t>e1907856118</t>
  </si>
  <si>
    <t>10.1073/pnas.1907856118</t>
  </si>
  <si>
    <t>https://www.scopus.com/pages/publications/85098229577?origin=resultslist</t>
  </si>
  <si>
    <t>2-s2.0-85098229577</t>
  </si>
  <si>
    <t>Xing Y.; Lv C.; Cao D.; Hang P.</t>
  </si>
  <si>
    <t>Toward human-vehicle collaboration: Review and perspectives on human-centered collaborative automated driving</t>
  </si>
  <si>
    <t>10.1016/j.trc.2021.103199</t>
  </si>
  <si>
    <t>https://www.scopus.com/pages/publications/85106225229?origin=resultslist</t>
  </si>
  <si>
    <t>2-s2.0-85106225229</t>
  </si>
  <si>
    <t>Haase J.; Hanel P.H.P.</t>
  </si>
  <si>
    <t>Artificial muses: Generative artificial intelligence chatbots have risen to human-level creativity</t>
  </si>
  <si>
    <t>Journal of Creativity</t>
  </si>
  <si>
    <t>10.1016/j.yjoc.2023.100066</t>
  </si>
  <si>
    <t>https://www.scopus.com/pages/publications/85173998347?origin=resultslist</t>
  </si>
  <si>
    <t>2-s2.0-85173998347</t>
  </si>
  <si>
    <t>MacLeod H.; Bennett C.L.; Morris M.R.; Cutrell E.</t>
  </si>
  <si>
    <t>Understanding blind people's experiences with computer-generated captions of social media images</t>
  </si>
  <si>
    <t>2017-May</t>
  </si>
  <si>
    <t>10.1145/3025453.3025814</t>
  </si>
  <si>
    <t>https://www.scopus.com/pages/publications/85044845157?origin=resultslist</t>
  </si>
  <si>
    <t>2-s2.0-85044845157</t>
  </si>
  <si>
    <t>Grimmelikhuijsen S.</t>
  </si>
  <si>
    <t>Explaining Why the Computer Says No: Algorithmic Transparency Affects the Perceived Trustworthiness of Automated Decision-Making</t>
  </si>
  <si>
    <t>Public Administration Review</t>
  </si>
  <si>
    <t>10.1111/puar.13483</t>
  </si>
  <si>
    <t>https://www.scopus.com/pages/publications/85131575056?origin=resultslist</t>
  </si>
  <si>
    <t>2-s2.0-85131575056</t>
  </si>
  <si>
    <t>Hopko S.; Wang J.; Mehta R.</t>
  </si>
  <si>
    <t>Human Factors Considerations and Metrics in Shared Space Human-Robot Collaboration: A Systematic Review</t>
  </si>
  <si>
    <t>Frontiers in Robotics and AI</t>
  </si>
  <si>
    <t>10.3389/frobt.2022.799522</t>
  </si>
  <si>
    <t>https://www.scopus.com/pages/publications/85124837823?origin=resultslist</t>
  </si>
  <si>
    <t>2-s2.0-85124837823</t>
  </si>
  <si>
    <t>Jiang Y.; Yang X.; Zheng T.</t>
  </si>
  <si>
    <t>Make chatbots more adaptive: Dual pathways linking human-like cues and tailored response to trust in interactions with chatbots</t>
  </si>
  <si>
    <t>10.1016/j.chb.2022.107485</t>
  </si>
  <si>
    <t>https://www.scopus.com/pages/publications/85139266683?origin=resultslist</t>
  </si>
  <si>
    <t>2-s2.0-85139266683</t>
  </si>
  <si>
    <t>Schoonderwoerd T.A.J.; Jorritsma W.; Neerincx M.A.; van den Bosch K.</t>
  </si>
  <si>
    <t>Human-centered XAI: Developing design patterns for explanations of clinical decision support systems</t>
  </si>
  <si>
    <t>10.1016/j.ijhcs.2021.102684</t>
  </si>
  <si>
    <t>https://www.scopus.com/pages/publications/85108794824?origin=resultslist</t>
  </si>
  <si>
    <t>2-s2.0-85108794824</t>
  </si>
  <si>
    <t>Li M.; Song X.; Cao H.; Wang J.; Huang Y.; Hu C.; Wang H.</t>
  </si>
  <si>
    <t>Shared control with a novel dynamic authority allocation strategy based on game theory and driving safety field</t>
  </si>
  <si>
    <t>Mechanical Systems and Signal Processing</t>
  </si>
  <si>
    <t>10.1016/j.ymssp.2019.01.040</t>
  </si>
  <si>
    <t>https://www.scopus.com/pages/publications/85061065348?origin=resultslist</t>
  </si>
  <si>
    <t>2-s2.0-85061065348</t>
  </si>
  <si>
    <t>Zhang A.X.; Muller M.; Wang D.</t>
  </si>
  <si>
    <t>How do Data Science Workers Collaborate? Roles, Workflows, and Tools</t>
  </si>
  <si>
    <t>10.1145/3392826</t>
  </si>
  <si>
    <t>https://www.scopus.com/pages/publications/85085653363?origin=resultslist</t>
  </si>
  <si>
    <t>2-s2.0-85085653363</t>
  </si>
  <si>
    <t>Stöhr C.; Ou A.W.; Malmström H.</t>
  </si>
  <si>
    <t>Perceptions and usage of AI chatbots among students in higher education across genders, academic levels and fields of study</t>
  </si>
  <si>
    <t>10.1016/j.caeai.2024.100259</t>
  </si>
  <si>
    <t>https://www.scopus.com/pages/publications/85196821140?origin=resultslist</t>
  </si>
  <si>
    <t>2-s2.0-85196821140</t>
  </si>
  <si>
    <t>Jagatheesaperumal S.K.; Pham Q.-V.; Ruby R.; Yang Z.; Xu C.; Zhang Z.</t>
  </si>
  <si>
    <t>Explainable AI Over the Internet of Things (IoT): Overview, State-of-the-Art and Future Directions</t>
  </si>
  <si>
    <t>IEEE Open Journal of the Communications Society</t>
  </si>
  <si>
    <t>10.1109/OJCOMS.2022.3215676</t>
  </si>
  <si>
    <t>https://www.scopus.com/pages/publications/85141539421?origin=resultslist</t>
  </si>
  <si>
    <t>2-s2.0-85141539421</t>
  </si>
  <si>
    <t>Liu B.</t>
  </si>
  <si>
    <t>In AI We Trust? Effects of Agency Locus and Transparency on Uncertainty Reduction in Human-AI Interaction</t>
  </si>
  <si>
    <t>Journal of Computer-Mediated Communication</t>
  </si>
  <si>
    <t>10.1093/jcmc/zmab013</t>
  </si>
  <si>
    <t>https://www.scopus.com/pages/publications/85129128755?origin=resultslist</t>
  </si>
  <si>
    <t>2-s2.0-85129128755</t>
  </si>
  <si>
    <t>Hoffman R.R.; Mueller S.T.; Klein G.; Litman J.</t>
  </si>
  <si>
    <t>Measures for explainable AI: Explanation goodness, user satisfaction, mental models, curiosity, trust, and human-AI performance</t>
  </si>
  <si>
    <t>Frontiers in Computer Science</t>
  </si>
  <si>
    <t>10.3389/fcomp.2023.1096257</t>
  </si>
  <si>
    <t>https://www.scopus.com/pages/publications/85148513751?origin=resultslist</t>
  </si>
  <si>
    <t>2-s2.0-85148513751</t>
  </si>
  <si>
    <t>Alqaraawi A.; Schuessler M.; Weiß P.; Costanza E.; Berthouze N.</t>
  </si>
  <si>
    <t>Evaluating saliency map explanations for convolutional neural networks</t>
  </si>
  <si>
    <t>10.1145/3377325.3377519</t>
  </si>
  <si>
    <t>https://www.scopus.com/pages/publications/85082502614?origin=resultslist</t>
  </si>
  <si>
    <t>2-s2.0-85082502614</t>
  </si>
  <si>
    <t>Chen M.; Soh H.; Hsu D.; Nikolaidis S.; Srinivasa S.</t>
  </si>
  <si>
    <t>Trust-aware decision making for human-robot collaboration: Model learning and planning</t>
  </si>
  <si>
    <t>ACM Transactions on Human-Robot Interaction</t>
  </si>
  <si>
    <t>10.1145/3359616</t>
  </si>
  <si>
    <t>https://www.scopus.com/pages/publications/85086562607?origin=resultslist</t>
  </si>
  <si>
    <t>2-s2.0-85086562607</t>
  </si>
  <si>
    <t>Ding L.; Li T.; Jiang S.; Gapud A.</t>
  </si>
  <si>
    <t>Students’ perceptions of using ChatGPT in a physics class as a virtual tutor</t>
  </si>
  <si>
    <t>International Journal of Educational Technology in Higher Education</t>
  </si>
  <si>
    <t>10.1186/s41239-023-00434-1</t>
  </si>
  <si>
    <t>https://www.scopus.com/pages/publications/85180462986?origin=resultslist</t>
  </si>
  <si>
    <t>2-s2.0-85180462986</t>
  </si>
  <si>
    <t>Bankins S.; Formosa P.; Griep Y.; Richards D.</t>
  </si>
  <si>
    <t>AI Decision Making with Dignity? Contrasting Workers’ Justice Perceptions of Human and AI Decision Making in a Human Resource Management Context</t>
  </si>
  <si>
    <t>10.1007/s10796-021-10223-8</t>
  </si>
  <si>
    <t>https://www.scopus.com/pages/publications/85124105454?origin=resultslist</t>
  </si>
  <si>
    <t>2-s2.0-85124105454</t>
  </si>
  <si>
    <t>Starke C.; Baleis J.; Keller B.; Marcinkowski F.</t>
  </si>
  <si>
    <t>Fairness perceptions of algorithmic decision-making: A systematic review of the empirical literature</t>
  </si>
  <si>
    <t>10.1177/20539517221115189</t>
  </si>
  <si>
    <t>https://www.scopus.com/pages/publications/85139684252?origin=resultslist</t>
  </si>
  <si>
    <t>2-s2.0-85139684252</t>
  </si>
  <si>
    <t>Ding W.; Abdel-Basset M.; Hawash H.; Ali A.M.</t>
  </si>
  <si>
    <t>Explainability of artificial intelligence methods, applications and challenges: A comprehensive survey</t>
  </si>
  <si>
    <t>Information Sciences</t>
  </si>
  <si>
    <t>10.1016/j.ins.2022.10.013</t>
  </si>
  <si>
    <t>https://www.scopus.com/pages/publications/85140140380?origin=resultslist</t>
  </si>
  <si>
    <t>2-s2.0-85140140380</t>
  </si>
  <si>
    <t>Benlian A.; Wiener M.; Cram W.A.; Krasnova H.; Maedche A.; Möhlmann M.; Recker J.; Remus U.</t>
  </si>
  <si>
    <t>Algorithmic Management: Bright and Dark Sides, Practical Implications, and Research Opportunities</t>
  </si>
  <si>
    <t>10.1007/s12599-022-00764-w</t>
  </si>
  <si>
    <t>https://www.scopus.com/pages/publications/85135256466?origin=resultslist</t>
  </si>
  <si>
    <t>2-s2.0-85135256466</t>
  </si>
  <si>
    <t>Jorlöv S.; Bohman K.; Larsson A.</t>
  </si>
  <si>
    <t>Seating positions and activities in highly automated cars - A qualitative study of future automated driving scenarios</t>
  </si>
  <si>
    <t>Conference proceedings International Research Council on the Biomechanics of Injury, IRCOBI</t>
  </si>
  <si>
    <t>2017-September</t>
  </si>
  <si>
    <t>https://www.scopus.com/pages/publications/85046260529?origin=resultslist</t>
  </si>
  <si>
    <t>2-s2.0-85046260529</t>
  </si>
  <si>
    <t>Charalambous G.; Fletcher S.; Webb P.</t>
  </si>
  <si>
    <t>The Development of a Scale to Evaluate Trust in Industrial Human-robot Collaboration</t>
  </si>
  <si>
    <t>10.1007/s12369-015-0333-8</t>
  </si>
  <si>
    <t>https://www.scopus.com/pages/publications/84963766838?origin=resultslist</t>
  </si>
  <si>
    <t>2-s2.0-84963766838</t>
  </si>
  <si>
    <t>Han E.; Yin D.; Zhang H.</t>
  </si>
  <si>
    <t>Bots with Feelings: Should AI Agents Express Positive Emotion in Customer Service?</t>
  </si>
  <si>
    <t>Information Systems Research</t>
  </si>
  <si>
    <t>10.1287/ISRE.2022.1179</t>
  </si>
  <si>
    <t>https://www.scopus.com/pages/publications/85174743148?origin=resultslist</t>
  </si>
  <si>
    <t>2-s2.0-85174743148</t>
  </si>
  <si>
    <t>Longo L.; Wickens C.D.; Hancock P.A.; Hancock G.M.</t>
  </si>
  <si>
    <t>Human Mental Workload: A Survey and a Novel Inclusive Definition</t>
  </si>
  <si>
    <t>10.3389/fpsyg.2022.883321</t>
  </si>
  <si>
    <t>https://www.scopus.com/pages/publications/85132840250?origin=resultslist</t>
  </si>
  <si>
    <t>2-s2.0-85132840250</t>
  </si>
  <si>
    <t>Banks V.A.; Stanton N.A.</t>
  </si>
  <si>
    <t>Keep the driver in control: Automating automobiles of the future</t>
  </si>
  <si>
    <t>10.1016/j.apergo.2015.06.020</t>
  </si>
  <si>
    <t>https://www.scopus.com/pages/publications/84958654861?origin=resultslist</t>
  </si>
  <si>
    <t>2-s2.0-84958654861</t>
  </si>
  <si>
    <t>Leichtmann B.; Humer C.; Hinterreiter A.; Streit M.; Mara M.</t>
  </si>
  <si>
    <t>Effects of Explainable Artificial Intelligence on trust and human behavior in a high-risk decision task</t>
  </si>
  <si>
    <t>10.1016/j.chb.2022.107539</t>
  </si>
  <si>
    <t>https://www.scopus.com/pages/publications/85141368885?origin=resultslist</t>
  </si>
  <si>
    <t>2-s2.0-85141368885</t>
  </si>
  <si>
    <t>Ismatullaev U.V.U.; Kim S.-H.</t>
  </si>
  <si>
    <t>Review of the Factors Affecting Acceptance of AI-Infused Systems</t>
  </si>
  <si>
    <t>10.1177/00187208211064707</t>
  </si>
  <si>
    <t>https://www.scopus.com/pages/publications/85127774146?origin=resultslist</t>
  </si>
  <si>
    <t>2-s2.0-85127774146</t>
  </si>
  <si>
    <t>Naujoks F.; Purucker C.; Neukum A.</t>
  </si>
  <si>
    <t>Secondary task engagement and vehicle automation - Comparing the effects of different automation levels in an on-road experiment</t>
  </si>
  <si>
    <t>10.1016/j.trf.2016.01.011</t>
  </si>
  <si>
    <t>https://www.scopus.com/pages/publications/84957060985?origin=resultslist</t>
  </si>
  <si>
    <t>2-s2.0-84957060985</t>
  </si>
  <si>
    <t>Vishwanath A.; Harrison B.; Ng Y.J.</t>
  </si>
  <si>
    <t>Suspicion, Cognition, and Automaticity Model of Phishing Susceptibility</t>
  </si>
  <si>
    <t>Communication Research</t>
  </si>
  <si>
    <t>10.1177/0093650215627483</t>
  </si>
  <si>
    <t>https://www.scopus.com/pages/publications/85056248863?origin=resultslist</t>
  </si>
  <si>
    <t>2-s2.0-85056248863</t>
  </si>
  <si>
    <t>Giroux M.; Kim J.; Lee J.C.; Park J.</t>
  </si>
  <si>
    <t>Artificial Intelligence and Declined Guilt: Retailing Morality Comparison Between Human and AI</t>
  </si>
  <si>
    <t>10.1007/s10551-022-05056-7</t>
  </si>
  <si>
    <t>https://www.scopus.com/pages/publications/85124755489?origin=resultslist</t>
  </si>
  <si>
    <t>2-s2.0-85124755489</t>
  </si>
  <si>
    <t>Conversational commerce: entering the next stage of AI-powered digital assistants</t>
  </si>
  <si>
    <t>Annals of Operations Research</t>
  </si>
  <si>
    <t>10.1007/s10479-021-04049-5</t>
  </si>
  <si>
    <t>https://www.scopus.com/pages/publications/85104462256?origin=resultslist</t>
  </si>
  <si>
    <t>2-s2.0-85104462256</t>
  </si>
  <si>
    <t>Završnik A.</t>
  </si>
  <si>
    <t>Algorithmic justice: Algorithms and big data in criminal justice settings</t>
  </si>
  <si>
    <t>European Journal of Criminology</t>
  </si>
  <si>
    <t>10.1177/1477370819876762</t>
  </si>
  <si>
    <t>https://www.scopus.com/pages/publications/85073989398?origin=resultslist</t>
  </si>
  <si>
    <t>2-s2.0-85073989398</t>
  </si>
  <si>
    <t>Söllner M.; Hoffmann A.; Leimeister J.M.</t>
  </si>
  <si>
    <t>Why different trust relationships matter for information systems users</t>
  </si>
  <si>
    <t>10.1057/ejis.2015.17</t>
  </si>
  <si>
    <t>https://www.scopus.com/pages/publications/84968624529?origin=resultslist</t>
  </si>
  <si>
    <t>2-s2.0-84968624529</t>
  </si>
  <si>
    <t>Langer M.; König C.J.; Papathanasiou M.</t>
  </si>
  <si>
    <t>Highly automated job interviews: Acceptance under the influence of stakes</t>
  </si>
  <si>
    <t>International Journal of Selection and Assessment</t>
  </si>
  <si>
    <t>10.1111/ijsa.12246</t>
  </si>
  <si>
    <t>https://www.scopus.com/pages/publications/85065842922?origin=resultslist</t>
  </si>
  <si>
    <t>2-s2.0-85065842922</t>
  </si>
  <si>
    <t>Liu H.; Yang R.; Wang L.; Liu P.</t>
  </si>
  <si>
    <t>Evaluating Initial Public Acceptance of Highly and Fully Autonomous Vehicles</t>
  </si>
  <si>
    <t>10.1080/10447318.2018.1561791</t>
  </si>
  <si>
    <t>https://www.scopus.com/pages/publications/85059677025?origin=resultslist</t>
  </si>
  <si>
    <t>2-s2.0-85059677025</t>
  </si>
  <si>
    <t>Eiband M.; Schneider H.; Bilandzic M.; Fazekas-Con J.; Haug M.; Hussmann H.</t>
  </si>
  <si>
    <t>Bringing transparency design into practice</t>
  </si>
  <si>
    <t>10.1145/3172944.3172961</t>
  </si>
  <si>
    <t>https://www.scopus.com/pages/publications/85044508613?origin=resultslist</t>
  </si>
  <si>
    <t>2-s2.0-85044508613</t>
  </si>
  <si>
    <t>Zerilli J.; Bhatt U.; Weller A.</t>
  </si>
  <si>
    <t>How transparency modulates trust in artificial intelligence</t>
  </si>
  <si>
    <t>10.1016/j.patter.2022.100455</t>
  </si>
  <si>
    <t>https://www.scopus.com/pages/publications/85127735847?origin=resultslist</t>
  </si>
  <si>
    <t>2-s2.0-85127735847</t>
  </si>
  <si>
    <t>Sartori L.; Theodorou A.</t>
  </si>
  <si>
    <t>A sociotechnical perspective for the future of AI: narratives, inequalities, and human control</t>
  </si>
  <si>
    <t>Ethics and Information Technology</t>
  </si>
  <si>
    <t>10.1007/s10676-022-09624-3</t>
  </si>
  <si>
    <t>https://www.scopus.com/pages/publications/85124016925?origin=resultslist</t>
  </si>
  <si>
    <t>2-s2.0-85124016925</t>
  </si>
  <si>
    <t>Vogelpohl T.; Kühn M.; Hummel T.; Vollrath M.</t>
  </si>
  <si>
    <t>Asleep at the automated wheel—Sleepiness and fatigue during highly automated driving</t>
  </si>
  <si>
    <t>10.1016/j.aap.2018.03.013</t>
  </si>
  <si>
    <t>https://www.scopus.com/pages/publications/85044161321?origin=resultslist</t>
  </si>
  <si>
    <t>2-s2.0-85044161321</t>
  </si>
  <si>
    <t>Kenesei Z.; Ásványi K.; Kökény L.; Jászberényi M.; Miskolczi M.; Gyulavári T.; Syahrivar J.</t>
  </si>
  <si>
    <t>Trust and perceived risk: How different manifestations affect the adoption of autonomous vehicles</t>
  </si>
  <si>
    <t>Transportation Research Part A: Policy and Practice</t>
  </si>
  <si>
    <t>10.1016/j.tra.2022.08.022</t>
  </si>
  <si>
    <t>https://www.scopus.com/pages/publications/85137268213?origin=resultslist</t>
  </si>
  <si>
    <t>2-s2.0-85137268213</t>
  </si>
  <si>
    <t>Kong H.; Yin Z.; Baruch Y.; Yuan Y.</t>
  </si>
  <si>
    <t>The impact of trust in AI on career sustainability: The role of employee–AI collaboration and protean career orientation</t>
  </si>
  <si>
    <t>Journal of Vocational Behavior</t>
  </si>
  <si>
    <t>10.1016/j.jvb.2023.103928</t>
  </si>
  <si>
    <t>https://www.scopus.com/pages/publications/85172870080?origin=resultslist</t>
  </si>
  <si>
    <t>2-s2.0-85172870080</t>
  </si>
  <si>
    <t>Grassini S.</t>
  </si>
  <si>
    <t>Development and validation of the AI attitude scale (AIAS-4): a brief measure of general attitude toward artificial intelligence</t>
  </si>
  <si>
    <t>10.3389/fpsyg.2023.1191628</t>
  </si>
  <si>
    <t>https://www.scopus.com/pages/publications/85167364943?origin=resultslist</t>
  </si>
  <si>
    <t>2-s2.0-85167364943</t>
  </si>
  <si>
    <t>Nordheim C.B.; Følstad A.; Bjørkli C.A.</t>
  </si>
  <si>
    <t>An Initial Model of Trust in Chatbots for Customer Service - Findings from a Questionnaire Study</t>
  </si>
  <si>
    <t>Interacting with Computers</t>
  </si>
  <si>
    <t>10.1093/iwc/iwz022</t>
  </si>
  <si>
    <t>https://www.scopus.com/pages/publications/85075060593?origin=resultslist</t>
  </si>
  <si>
    <t>2-s2.0-85075060593</t>
  </si>
  <si>
    <t>De-Arteaga M.; Fogliato R.; Chouldechova A.</t>
  </si>
  <si>
    <t>A Case for Humans-in-the-Loop: Decisions in the Presence of Erroneous Algorithmic Scores</t>
  </si>
  <si>
    <t>10.1145/3313831.3376638</t>
  </si>
  <si>
    <t>https://www.scopus.com/pages/publications/85091303821?origin=resultslist</t>
  </si>
  <si>
    <t>2-s2.0-85091303821</t>
  </si>
  <si>
    <t>Chatzimparmpas A.; Martins R.M.; Jusufi I.; Kucher K.; Rossi F.; Kerren A.</t>
  </si>
  <si>
    <t>The State of the Art in Enhancing Trust in Machine Learning Models with the Use of Visualizations</t>
  </si>
  <si>
    <t>Computer Graphics Forum</t>
  </si>
  <si>
    <t>10.1111/cgf.14034</t>
  </si>
  <si>
    <t>https://www.scopus.com/pages/publications/85088145692?origin=resultslist</t>
  </si>
  <si>
    <t>2-s2.0-85088145692</t>
  </si>
  <si>
    <t>Papagiannidis E.; Mikalef P.; Conboy K.</t>
  </si>
  <si>
    <t>Responsible artificial intelligence governance: A review and research framework</t>
  </si>
  <si>
    <t>Journal of Strategic Information Systems</t>
  </si>
  <si>
    <t>10.1016/j.jsis.2024.101885</t>
  </si>
  <si>
    <t>https://www.scopus.com/pages/publications/85213874385?origin=resultslist</t>
  </si>
  <si>
    <t>2-s2.0-85213874385</t>
  </si>
  <si>
    <t>Alharbi W.</t>
  </si>
  <si>
    <t>AI in the Foreign Language Classroom: A Pedagogical Overview of Automated Writing Assistance Tools</t>
  </si>
  <si>
    <t>Education Research International</t>
  </si>
  <si>
    <t>10.1155/2023/4253331</t>
  </si>
  <si>
    <t>https://www.scopus.com/pages/publications/85148727208?origin=resultslist</t>
  </si>
  <si>
    <t>2-s2.0-85148727208</t>
  </si>
  <si>
    <t>Reverberi C.; Rigon T.; Solari A.; Hassan C.; Cherubini P.; Cherubini A.; Awadie H.; Bernhofer S.; Carballal S.; Dinis-Ribeiro M.; Fernández-Clotett A.; Esparrach G.F.; Gralnek I.; Higasa Y.; Hirabayashi T.; Hirai T.; Iwatate M.; Kawano M.; Mader M.; Maieron A.; Mattes S.; Nakai T.; Ordas I.; Ortigão R.; Zúñiga O.O.; Pellisé M.; Pinto C.; Riedl F.; Sánchez A.; Steiner E.; Tanaka Y.</t>
  </si>
  <si>
    <t>Experimental evidence of effective human–AI collaboration in medical decision-making</t>
  </si>
  <si>
    <t>10.1038/s41598-022-18751-2</t>
  </si>
  <si>
    <t>https://www.scopus.com/pages/publications/85137162934?origin=resultslist</t>
  </si>
  <si>
    <t>2-s2.0-85137162934</t>
  </si>
  <si>
    <t>Kumar P.; Chauhan S.; Awasthi L.K.</t>
  </si>
  <si>
    <t>Artificial Intelligence in Healthcare: Review, Ethics, Trust Challenges &amp; Future Research Directions</t>
  </si>
  <si>
    <t>Engineering Applications of Artificial Intelligence</t>
  </si>
  <si>
    <t>10.1016/j.engappai.2023.105894</t>
  </si>
  <si>
    <t>https://www.scopus.com/pages/publications/85147257851?origin=resultslist</t>
  </si>
  <si>
    <t>2-s2.0-85147257851</t>
  </si>
  <si>
    <t>Simões A.C.; Pinto A.; Santos J.; Pinheiro S.; Romero D.</t>
  </si>
  <si>
    <t>Designing human-robot collaboration (HRC) workspaces in industrial settings: A systemic literature review</t>
  </si>
  <si>
    <t>10.1016/j.jmsy.2021.11.007</t>
  </si>
  <si>
    <t>https://www.scopus.com/pages/publications/85119275144?origin=resultslist</t>
  </si>
  <si>
    <t>2-s2.0-85119275144</t>
  </si>
  <si>
    <t>Janssen C.P.; Donker S.F.; Brumby D.P.; Kun A.L.</t>
  </si>
  <si>
    <t>History and future of human-automation interaction</t>
  </si>
  <si>
    <t>10.1016/j.ijhcs.2019.05.006</t>
  </si>
  <si>
    <t>https://www.scopus.com/pages/publications/85065834773?origin=resultslist</t>
  </si>
  <si>
    <t>2-s2.0-85065834773</t>
  </si>
  <si>
    <t>Zablocki É.; Ben-Younes H.; Pérez P.; Cord M.</t>
  </si>
  <si>
    <t>Explainability of Deep Vision-Based Autonomous Driving Systems: Review and Challenges</t>
  </si>
  <si>
    <t>International Journal of Computer Vision</t>
  </si>
  <si>
    <t>10.1007/s11263-022-01657-x</t>
  </si>
  <si>
    <t>https://www.scopus.com/pages/publications/85136821289?origin=resultslist</t>
  </si>
  <si>
    <t>All Open Access</t>
  </si>
  <si>
    <t>2-s2.0-85136821289</t>
  </si>
  <si>
    <t>Yang W.; Wei Y.; Wei H.; Chen Y.; Huang G.; Li X.; Li R.; Yao N.; Wang X.; Gu X.; Amin M.B.; Kang B.</t>
  </si>
  <si>
    <t>Survey on Explainable AI: From Approaches, Limitations and Applications Aspects</t>
  </si>
  <si>
    <t>Human-Centric Intelligent Systems</t>
  </si>
  <si>
    <t>10.1007/s44230-023-00038-y</t>
  </si>
  <si>
    <t>https://www.scopus.com/pages/publications/105018864163?origin=resultslist</t>
  </si>
  <si>
    <t>2-s2.0-105018864163</t>
  </si>
  <si>
    <t>Rajaobelina L.; Prom Tep S.; Arcand M.; Ricard L.</t>
  </si>
  <si>
    <t>Creepiness: Its antecedents and impact on loyalty when interacting with a chatbot</t>
  </si>
  <si>
    <t>10.1002/mar.21548</t>
  </si>
  <si>
    <t>https://www.scopus.com/pages/publications/85110646859?origin=resultslist</t>
  </si>
  <si>
    <t>2-s2.0-85110646859</t>
  </si>
  <si>
    <t>Dey P.K.; Chowdhury S.; Abadie A.; Vann Yaroson E.; Sarkar S.</t>
  </si>
  <si>
    <t>Artificial intelligence-driven supply chain resilience in Vietnamese manufacturing small- and medium-sized enterprises</t>
  </si>
  <si>
    <t>International Journal of Production Research</t>
  </si>
  <si>
    <t>10.1080/00207543.2023.2179859</t>
  </si>
  <si>
    <t>https://www.scopus.com/pages/publications/85150977331?origin=resultslist</t>
  </si>
  <si>
    <t>2-s2.0-85150977331</t>
  </si>
  <si>
    <t>Chehri A.; Mouftah H.T.</t>
  </si>
  <si>
    <t>Autonomous vehicles in the sustainable cities, the beginning of a green adventure</t>
  </si>
  <si>
    <t>Sustainable Cities and Society</t>
  </si>
  <si>
    <t>10.1016/j.scs.2019.101751</t>
  </si>
  <si>
    <t>https://www.scopus.com/pages/publications/85070795339?origin=resultslist</t>
  </si>
  <si>
    <t>2-s2.0-85070795339</t>
  </si>
  <si>
    <t>Bellem H.; Thiel B.; Schrauf M.; Krems J.F.</t>
  </si>
  <si>
    <t>Comfort in automated driving: An analysis of preferences for different automated driving styles and their dependence on personality traits</t>
  </si>
  <si>
    <t>10.1016/j.trf.2018.02.036</t>
  </si>
  <si>
    <t>https://www.scopus.com/pages/publications/85043582072?origin=resultslist</t>
  </si>
  <si>
    <t>2-s2.0-85043582072</t>
  </si>
  <si>
    <t>Hulsen T.</t>
  </si>
  <si>
    <t>Explainable Artificial Intelligence (XAI): Concepts and Challenges in Healthcare</t>
  </si>
  <si>
    <t>AI (Switzerland)</t>
  </si>
  <si>
    <t>10.3390/ai4030034</t>
  </si>
  <si>
    <t>https://www.scopus.com/pages/publications/85172454220?origin=resultslist</t>
  </si>
  <si>
    <t>2-s2.0-85172454220</t>
  </si>
  <si>
    <t>Peeters M.M.M.; van Diggelen J.; van den Bosch K.; Bronkhorst A.; Neerincx M.A.; Schraagen J.M.; Raaijmakers S.</t>
  </si>
  <si>
    <t>Hybrid collective intelligence in a human–AI society</t>
  </si>
  <si>
    <t>AI and Society</t>
  </si>
  <si>
    <t>10.1007/s00146-020-01005-y</t>
  </si>
  <si>
    <t>https://www.scopus.com/pages/publications/85087076996?origin=resultslist</t>
  </si>
  <si>
    <t>2-s2.0-85087076996</t>
  </si>
  <si>
    <t>Musić S.; Hirche S.</t>
  </si>
  <si>
    <t>Control sharing in human-robot team interaction</t>
  </si>
  <si>
    <t>Annual Reviews in Control</t>
  </si>
  <si>
    <t>10.1016/j.arcontrol.2017.09.017</t>
  </si>
  <si>
    <t>https://www.scopus.com/pages/publications/85033466565?origin=resultslist</t>
  </si>
  <si>
    <t>2-s2.0-85033466565</t>
  </si>
  <si>
    <t>Dennis A.R.; Lakhiwal A.; Sachdeva A.</t>
  </si>
  <si>
    <t>AI Agents as Team Members: Effects on Satisfaction, Conflict, Trustworthiness, and Willingness to Work With</t>
  </si>
  <si>
    <t>10.1080/07421222.2023.2196773</t>
  </si>
  <si>
    <t>https://www.scopus.com/pages/publications/85163187322?origin=resultslist</t>
  </si>
  <si>
    <t>2-s2.0-85163187322</t>
  </si>
  <si>
    <t>Hegner S.M.; Beldad A.D.; Brunswick G.J.</t>
  </si>
  <si>
    <t>In Automatic We Trust: Investigating the Impact of Trust, Control, Personality Characteristics, and Extrinsic and Intrinsic Motivations on the Acceptance of Autonomous Vehicles</t>
  </si>
  <si>
    <t>10.1080/10447318.2019.1572353</t>
  </si>
  <si>
    <t>https://www.scopus.com/pages/publications/85061287740?origin=resultslist</t>
  </si>
  <si>
    <t>2-s2.0-85061287740</t>
  </si>
  <si>
    <t>Kim S.S.Y.; Watkins E.A.; Russakovsky O.; Fong R.; Monroy-Hernández A.</t>
  </si>
  <si>
    <t>"Help Me Help the AI": Understanding How Explainability Can Support Human-AI Interaction</t>
  </si>
  <si>
    <t>10.1145/3544548.3581001</t>
  </si>
  <si>
    <t>https://www.scopus.com/pages/publications/85152299586?origin=resultslist</t>
  </si>
  <si>
    <t>2-s2.0-85152299586</t>
  </si>
  <si>
    <t>McDonald A.D.; Lee J.D.; Schwarz C.; Brown T.L.</t>
  </si>
  <si>
    <t>A contextual and temporal algorithm for driver drowsiness detection</t>
  </si>
  <si>
    <t>10.1016/j.aap.2018.01.005</t>
  </si>
  <si>
    <t>https://www.scopus.com/pages/publications/85041478641?origin=resultslist</t>
  </si>
  <si>
    <t>2-s2.0-85041478641</t>
  </si>
  <si>
    <t>Dan A.; Reiner M.</t>
  </si>
  <si>
    <t>EEG-based cognitive load of processing events in 3D virtual worlds is lower than processing events in 2D displays</t>
  </si>
  <si>
    <t>International Journal of Psychophysiology</t>
  </si>
  <si>
    <t>10.1016/j.ijpsycho.2016.08.013</t>
  </si>
  <si>
    <t>https://www.scopus.com/pages/publications/84995699460?origin=resultslist</t>
  </si>
  <si>
    <t>2-s2.0-84995699460</t>
  </si>
  <si>
    <t>Uzir M.U.H.; Al Halbusi H.; Lim R.; Jerin I.; Abdul Hamid A.B.; Ramayah T.; Haque A.</t>
  </si>
  <si>
    <t>Applied Artificial Intelligence and user satisfaction: Smartwatch usage for healthcare in Bangladesh during COVID-19</t>
  </si>
  <si>
    <t>10.1016/j.techsoc.2021.101780</t>
  </si>
  <si>
    <t>https://www.scopus.com/pages/publications/85118726488?origin=resultslist</t>
  </si>
  <si>
    <t>2-s2.0-85118726488</t>
  </si>
  <si>
    <t>Tarafdar M.; Page X.; Marabelli M.</t>
  </si>
  <si>
    <t>Algorithms as co-workers: Human algorithm role interactions in algorithmic work</t>
  </si>
  <si>
    <t>Information Systems Journal</t>
  </si>
  <si>
    <t>10.1111/isj.12389</t>
  </si>
  <si>
    <t>https://www.scopus.com/pages/publications/85129404886?origin=resultslist</t>
  </si>
  <si>
    <t>2-s2.0-85129404886</t>
  </si>
  <si>
    <t>Chen P.; Wu L.; Wang L.</t>
  </si>
  <si>
    <t>AI Fairness in Data Management and Analytics: A Review on Challenges, Methodologies and Applications</t>
  </si>
  <si>
    <t>10.3390/app131810258</t>
  </si>
  <si>
    <t>https://www.scopus.com/pages/publications/85172915933?origin=resultslist</t>
  </si>
  <si>
    <t>2-s2.0-85172915933</t>
  </si>
  <si>
    <t>Vatan A.; Dogan S.</t>
  </si>
  <si>
    <t>What do hotel employees think about service robots? A qualitative study in Turkey</t>
  </si>
  <si>
    <t>Tourism Management Perspectives</t>
  </si>
  <si>
    <t>10.1016/j.tmp.2020.100775</t>
  </si>
  <si>
    <t>https://www.scopus.com/pages/publications/85096837983?origin=resultslist</t>
  </si>
  <si>
    <t>2-s2.0-85096837983</t>
  </si>
  <si>
    <t>Kautish P.; Khare A.</t>
  </si>
  <si>
    <t>Investigating the moderating role of AI-enabled services on flow and awe experience</t>
  </si>
  <si>
    <t>10.1016/j.ijinfomgt.2022.102519</t>
  </si>
  <si>
    <t>https://www.scopus.com/pages/publications/85129319061?origin=resultslist</t>
  </si>
  <si>
    <t>2-s2.0-85129319061</t>
  </si>
  <si>
    <t>Bolbot V.; Theotokatos G.; Bujorianu L.M.; Boulougouris E.; Vassalos D.</t>
  </si>
  <si>
    <t>Vulnerabilities and safety assurance methods in Cyber-Physical Systems: A comprehensive review</t>
  </si>
  <si>
    <t>Reliability Engineering and System Safety</t>
  </si>
  <si>
    <t>10.1016/j.ress.2018.09.004</t>
  </si>
  <si>
    <t>https://www.scopus.com/pages/publications/85055882213?origin=resultslist</t>
  </si>
  <si>
    <t>2-s2.0-85055882213</t>
  </si>
  <si>
    <t>Kong S.-C.; Yang Y.</t>
  </si>
  <si>
    <t>A Human-Centered Learning and Teaching Framework Using Generative Artificial Intelligence for Self-Regulated Learning Development Through Domain Knowledge Learning in K-12 Settings</t>
  </si>
  <si>
    <t>10.1109/TLT.2024.3392830</t>
  </si>
  <si>
    <t>https://www.scopus.com/pages/publications/85191348976?origin=resultslist</t>
  </si>
  <si>
    <t>2-s2.0-85191348976</t>
  </si>
  <si>
    <t>Poquet O.; de Laat M.</t>
  </si>
  <si>
    <t>Developing capabilities: Lifelong learning in the age of AI</t>
  </si>
  <si>
    <t>10.1111/bjet.13123</t>
  </si>
  <si>
    <t>https://www.scopus.com/pages/publications/85105779331?origin=resultslist</t>
  </si>
  <si>
    <t>2-s2.0-85105779331</t>
  </si>
  <si>
    <t>Montoro L.; Useche S.A.; Alonso F.; Lijarcio I.; Bosó-Seguí P.; Martí-Belda A.</t>
  </si>
  <si>
    <t>Perceived safety and attributed value as predictors of the intention to use autonomous vehicles: A national study with Spanish drivers</t>
  </si>
  <si>
    <t>10.1016/j.ssci.2019.07.041</t>
  </si>
  <si>
    <t>https://www.scopus.com/pages/publications/85071226593?origin=resultslist</t>
  </si>
  <si>
    <t>2-s2.0-85071226593</t>
  </si>
  <si>
    <t>Nuñez Velasco J.P.; Farah H.; van Arem B.; Hagenzieker M.P.</t>
  </si>
  <si>
    <t>Studying pedestrians’ crossing behavior when interacting with automated vehicles using virtual reality</t>
  </si>
  <si>
    <t>10.1016/j.trf.2019.08.015</t>
  </si>
  <si>
    <t>https://www.scopus.com/pages/publications/85071399449?origin=resultslist</t>
  </si>
  <si>
    <t>2-s2.0-85071399449</t>
  </si>
  <si>
    <t>Helberger N.; Araujo T.; de Vreese C.H.</t>
  </si>
  <si>
    <t>Who is the fairest of them all? Public attitudes and expectations regarding automated decision-making</t>
  </si>
  <si>
    <t>Computer Law and Security Review</t>
  </si>
  <si>
    <t>10.1016/j.clsr.2020.105456</t>
  </si>
  <si>
    <t>https://www.scopus.com/pages/publications/85090350790?origin=resultslist</t>
  </si>
  <si>
    <t>2-s2.0-85090350790</t>
  </si>
  <si>
    <t>Figueroa-Armijos M.; Clark B.B.; da Motta Veiga S.P.</t>
  </si>
  <si>
    <t>Ethical Perceptions of AI in Hiring and Organizational Trust: The Role of Performance Expectancy and Social Influence</t>
  </si>
  <si>
    <t>10.1007/s10551-022-05166-2</t>
  </si>
  <si>
    <t>https://www.scopus.com/pages/publications/85132347180?origin=resultslist</t>
  </si>
  <si>
    <t>2-s2.0-85132347180</t>
  </si>
  <si>
    <t>Ehsan U.; Wintersberger P.; Liao Q.V.; Watkins E.A.; Manger C.; Daumé Iii H.; Riener A.; Riedl M.O.</t>
  </si>
  <si>
    <t>Human-Centered Explainable AI (HCXAI): Beyond Opening the Black-Box of AI</t>
  </si>
  <si>
    <t>10.1145/3491101.3503727</t>
  </si>
  <si>
    <t>https://www.scopus.com/pages/publications/85129739238?origin=resultslist</t>
  </si>
  <si>
    <t>2-s2.0-85129739238</t>
  </si>
  <si>
    <t>Chromik M.; Eiband M.; Buchner F.; Krüger A.; Butz A.</t>
  </si>
  <si>
    <t>I Think i Get Your Point, AI! The Illusion of Explanatory Depth in Explainable AI</t>
  </si>
  <si>
    <t>10.1145/3397481.3450644</t>
  </si>
  <si>
    <t>https://www.scopus.com/pages/publications/85104521479?origin=resultslist</t>
  </si>
  <si>
    <t>2-s2.0-85104521479</t>
  </si>
  <si>
    <t>The Power of Virtual Influencers: Impact on Consumer Behaviour and Attitudes in the Age of AI</t>
  </si>
  <si>
    <t>Administrative Sciences</t>
  </si>
  <si>
    <t>10.3390/admsci13080178</t>
  </si>
  <si>
    <t>https://www.scopus.com/pages/publications/85168712347?origin=resultslist</t>
  </si>
  <si>
    <t>2-s2.0-85168712347</t>
  </si>
  <si>
    <t>Oksanen A.; Savela N.; Latikka R.; Koivula A.</t>
  </si>
  <si>
    <t>Trust Toward Robots and Artificial Intelligence: An Experimental Approach to Human–Technology Interactions Online</t>
  </si>
  <si>
    <t>10.3389/fpsyg.2020.568256</t>
  </si>
  <si>
    <t>https://www.scopus.com/pages/publications/85098134433?origin=resultslist</t>
  </si>
  <si>
    <t>2-s2.0-85098134433</t>
  </si>
  <si>
    <t>Tzirides A.O.O.; Zapata G.; Kastania N.P.; Saini A.K.; Castro V.; Ismael S.A.; You Y.-L.; Santos T.A.D.; Searsmith D.; O'Brien C.; Cope B.; Kalantzis M.</t>
  </si>
  <si>
    <t>Combining human and artificial intelligence for enhanced AI literacy in higher education</t>
  </si>
  <si>
    <t>Computers and Education Open</t>
  </si>
  <si>
    <t>10.1016/j.caeo.2024.100184</t>
  </si>
  <si>
    <t>https://www.scopus.com/pages/publications/85198989272?origin=resultslist</t>
  </si>
  <si>
    <t>2-s2.0-85198989272</t>
  </si>
  <si>
    <t>Sindermann C.; Yang H.; Elhai J.D.; Yang S.; Quan L.; Li M.; Montag C.</t>
  </si>
  <si>
    <t>Acceptance and Fear of Artificial Intelligence: associations with personality in a German and a Chinese sample</t>
  </si>
  <si>
    <t>Discover Psychology</t>
  </si>
  <si>
    <t>10.1007/s44202-022-00020-y</t>
  </si>
  <si>
    <t>https://www.scopus.com/pages/publications/85203719179?origin=resultslist</t>
  </si>
  <si>
    <t>2-s2.0-85203719179</t>
  </si>
  <si>
    <t>Chakraborty D.; Kumar Kar A.; Patre S.; Gupta S.</t>
  </si>
  <si>
    <t>Enhancing trust in online grocery shopping through generative AI chatbots</t>
  </si>
  <si>
    <t>10.1016/j.jbusres.2024.114737</t>
  </si>
  <si>
    <t>https://www.scopus.com/pages/publications/85193980589?origin=resultslist</t>
  </si>
  <si>
    <t>2-s2.0-85193980589</t>
  </si>
  <si>
    <t>Bingley W.J.; Curtis C.; Lockey S.; Bialkowski A.; Gillespie N.; Haslam S.A.; Ko R.K.L.; Steffens N.; Wiles J.; Worthy P.</t>
  </si>
  <si>
    <t>Where is the human in human-centered AI? Insights from developer priorities and user experiences</t>
  </si>
  <si>
    <t>10.1016/j.chb.2022.107617</t>
  </si>
  <si>
    <t>https://www.scopus.com/pages/publications/85144441350?origin=resultslist</t>
  </si>
  <si>
    <t>2-s2.0-85144441350</t>
  </si>
  <si>
    <t>Rodway P.; Schepman A.</t>
  </si>
  <si>
    <t>The impact of adopting AI educational technologies on projected course satisfaction in university students</t>
  </si>
  <si>
    <t>10.1016/j.caeai.2023.100150</t>
  </si>
  <si>
    <t>https://www.scopus.com/pages/publications/85162931567?origin=resultslist</t>
  </si>
  <si>
    <t>2-s2.0-85162931567</t>
  </si>
  <si>
    <t>Kim H.; Park M.</t>
  </si>
  <si>
    <t>When digital celebrity talks to you: How human-like virtual influencers satisfy consumer's experience through social presence on social media endorsements</t>
  </si>
  <si>
    <t>Journal of Retailing and Consumer Services</t>
  </si>
  <si>
    <t>10.1016/j.jretconser.2023.103581</t>
  </si>
  <si>
    <t>https://www.scopus.com/pages/publications/85173623215?origin=resultslist</t>
  </si>
  <si>
    <t>2-s2.0-85173623215</t>
  </si>
  <si>
    <t>Papenmeier A.; Kern D.; Englebienne G.; Seifert C.</t>
  </si>
  <si>
    <t>It's Complicated: The Relationship between User Trust, Model Accuracy and Explanations in AI</t>
  </si>
  <si>
    <t>ACM Transactions on Computer-Human Interaction</t>
  </si>
  <si>
    <t>10.1145/3495013</t>
  </si>
  <si>
    <t>https://www.scopus.com/pages/publications/85130235009?origin=resultslist</t>
  </si>
  <si>
    <t>2-s2.0-85130235009</t>
  </si>
  <si>
    <t>Christoforakos L.; Gallucci A.; Surmava-Große T.; Ullrich D.; Diefenbach S.</t>
  </si>
  <si>
    <t>Can Robots Earn Our Trust the Same Way Humans Do? A Systematic Exploration of Competence, Warmth, and Anthropomorphism as Determinants of Trust Development in HRI</t>
  </si>
  <si>
    <t>10.3389/frobt.2021.640444</t>
  </si>
  <si>
    <t>https://www.scopus.com/pages/publications/85104589930?origin=resultslist</t>
  </si>
  <si>
    <t>2-s2.0-85104589930</t>
  </si>
  <si>
    <t>Payre W.; Cestac J.; Dang N.-T.; Vienne F.; Delhomme P.</t>
  </si>
  <si>
    <t>Impact of training and in-vehicle task performance on manual control recovery in an automated car</t>
  </si>
  <si>
    <t>10.1016/j.trf.2017.02.001</t>
  </si>
  <si>
    <t>https://www.scopus.com/pages/publications/85014699249?origin=resultslist</t>
  </si>
  <si>
    <t>2-s2.0-85014699249</t>
  </si>
  <si>
    <t>Mallam S.C.; Nazir S.; Sharma A.</t>
  </si>
  <si>
    <t>The human element in future Maritime Operations–perceived impact of autonomous shipping</t>
  </si>
  <si>
    <t>10.1080/00140139.2019.1659995</t>
  </si>
  <si>
    <t>https://www.scopus.com/pages/publications/85071968097?origin=resultslist</t>
  </si>
  <si>
    <t>2-s2.0-85071968097</t>
  </si>
  <si>
    <t>Devito M.A.</t>
  </si>
  <si>
    <t>Adaptive Folk Theorization as a Path to Algorithmic Literacy on Changing Platforms</t>
  </si>
  <si>
    <t>10.1145/3476080</t>
  </si>
  <si>
    <t>https://www.scopus.com/pages/publications/85117890905?origin=resultslist</t>
  </si>
  <si>
    <t>2-s2.0-85117890905</t>
  </si>
  <si>
    <t>Zahlan A.; Ranjan R.P.; Hayes D.</t>
  </si>
  <si>
    <t>Artificial intelligence innovation in healthcare: Literature review, exploratory analysis, and future research</t>
  </si>
  <si>
    <t>10.1016/j.techsoc.2023.102321</t>
  </si>
  <si>
    <t>https://www.scopus.com/pages/publications/85165178224?origin=resultslist</t>
  </si>
  <si>
    <t>2-s2.0-85165178224</t>
  </si>
  <si>
    <t>De Visser E.J.; Monfort S.S.; Goodyear K.; Lu L.; O'Hara M.; Lee M.R.; Parasuraman R.; Krueger F.</t>
  </si>
  <si>
    <t>A Little Anthropomorphism Goes a Long Way: Effects of Oxytocin on Trust, Compliance, and Team Performance with Automated Agents</t>
  </si>
  <si>
    <t>10.1177/0018720816687205</t>
  </si>
  <si>
    <t>https://www.scopus.com/pages/publications/85011565227?origin=resultslist</t>
  </si>
  <si>
    <t>2-s2.0-85011565227</t>
  </si>
  <si>
    <t>Andrews R.W.; Lilly J.M.; Srivastava D.; Feigh K.M.</t>
  </si>
  <si>
    <t>The role of shared mental models in human-AI teams: a theoretical review</t>
  </si>
  <si>
    <t>10.1080/1463922X.2022.2061080</t>
  </si>
  <si>
    <t>https://www.scopus.com/pages/publications/85129455453?origin=resultslist</t>
  </si>
  <si>
    <t>2-s2.0-85129455453</t>
  </si>
  <si>
    <t>Molina M.D.; Sundar S.S.</t>
  </si>
  <si>
    <t>When AI moderates online content: Effects of human collaboration and interactive transparency on user trust</t>
  </si>
  <si>
    <t>zmac010</t>
  </si>
  <si>
    <t>10.1093/jcmc/zmac010</t>
  </si>
  <si>
    <t>https://www.scopus.com/pages/publications/85132590823?origin=resultslist</t>
  </si>
  <si>
    <t>2-s2.0-85132590823</t>
  </si>
  <si>
    <t>Zhou Q.; Li B.; Li H.; Lei Y.</t>
  </si>
  <si>
    <t>Mere copycat? The effects of human versus human-like virtual influencers on brand endorsement effectiveness: A moderated serial-mediation model</t>
  </si>
  <si>
    <t>10.1016/j.jretconser.2023.103610</t>
  </si>
  <si>
    <t>https://www.scopus.com/pages/publications/85174463337?origin=resultslist</t>
  </si>
  <si>
    <t>2-s2.0-85174463337</t>
  </si>
  <si>
    <t>Suriano R.; Plebe A.; Acciai A.; Fabio R.A.</t>
  </si>
  <si>
    <t>Student interaction with ChatGPT can promote complex critical thinking skills</t>
  </si>
  <si>
    <t>Learning and Instruction</t>
  </si>
  <si>
    <t>10.1016/j.learninstruc.2024.102011</t>
  </si>
  <si>
    <t>https://www.scopus.com/pages/publications/85203453556?origin=resultslist</t>
  </si>
  <si>
    <t>2-s2.0-85203453556</t>
  </si>
  <si>
    <t>Choudhary V.; Marchetti A.; Shrestha Y.R.; Puranam P.</t>
  </si>
  <si>
    <t>Human-AI Ensembles: When Can They Work?</t>
  </si>
  <si>
    <t>Journal of Management</t>
  </si>
  <si>
    <t>10.1177/01492063231194968</t>
  </si>
  <si>
    <t>https://www.scopus.com/pages/publications/85173449859?origin=resultslist</t>
  </si>
  <si>
    <t>2-s2.0-85173449859</t>
  </si>
  <si>
    <t>Kim J.H.; Kim J.; Park J.; Kim C.; Jhang J.; King B.</t>
  </si>
  <si>
    <t>When ChatGPT Gives Incorrect Answers: The Impact of Inaccurate Information by Generative AI on Tourism Decision-Making</t>
  </si>
  <si>
    <t>10.1177/00472875231212996</t>
  </si>
  <si>
    <t>https://www.scopus.com/pages/publications/85178417322?origin=resultslist</t>
  </si>
  <si>
    <t>2-s2.0-85178417322</t>
  </si>
  <si>
    <t>Casper S.; Davies X.; Shi C.; Gilbert T.K.; Scheurer J.; Rando J.; Freedman R.; Korbak T.; Lindner D.; Freire P.; Wang T.; Marks S.; Segerie C.-R.; Carroll M.; Peng A.; Christoffersen P.; Damani M.; Slocum S.; Anwar U.; Siththaranjan A.; Nadeau M.; Michaud E.J.; Pfau J.; Krasheninnikov D.; Chen X.; Langosco L.; Hase P.; Bıyık E.; Dragan A.; Krueger D.; Sadigh D.; Hadfield-Menell D.</t>
  </si>
  <si>
    <t>Open Problems and Fundamental Limitations of Reinforcement Learning from Human Feedback</t>
  </si>
  <si>
    <t>Transactions on Machine Learning Research</t>
  </si>
  <si>
    <t>https://www.scopus.com/pages/publications/105000109744?origin=resultslist</t>
  </si>
  <si>
    <t>2-s2.0-105000109744</t>
  </si>
  <si>
    <t>Higgins O.; Short B.L.; Chalup S.K.; Wilson R.L.</t>
  </si>
  <si>
    <t>Artificial intelligence (AI) and machine learning (ML) based decision support systems in mental health: An integrative review</t>
  </si>
  <si>
    <t>International Journal of Mental Health Nursing</t>
  </si>
  <si>
    <t>10.1111/inm.13114</t>
  </si>
  <si>
    <t>https://www.scopus.com/pages/publications/85147269996?origin=resultslist</t>
  </si>
  <si>
    <t>2-s2.0-85147269996</t>
  </si>
  <si>
    <t>Hancock P.A.</t>
  </si>
  <si>
    <t>Some pitfalls in the promises of automated and autonomous vehicles</t>
  </si>
  <si>
    <t>10.1080/00140139.2018.1498136</t>
  </si>
  <si>
    <t>https://www.scopus.com/pages/publications/85060949739?origin=resultslist</t>
  </si>
  <si>
    <t>2-s2.0-85060949739</t>
  </si>
  <si>
    <t>Forster Y.; Naujoks F.; Neukum A.</t>
  </si>
  <si>
    <t>Increasing anthropomorphism and trust in automated driving functions by adding speech output</t>
  </si>
  <si>
    <t>IEEE Intelligent Vehicles Symposium, Proceedings</t>
  </si>
  <si>
    <t>10.1109/IVS.2017.7995746</t>
  </si>
  <si>
    <t>https://www.scopus.com/pages/publications/85028063436?origin=resultslist</t>
  </si>
  <si>
    <t>2-s2.0-85028063436</t>
  </si>
  <si>
    <t>Wang R.; Bush-Evans R.; Arden-Close E.; Bolat E.; McAlaney J.; Hodge S.; Thomas S.; Phalp K.</t>
  </si>
  <si>
    <t>Transparency in persuasive technology, immersive technology, and online marketing: Facilitating users’ informed decision making and practical implications</t>
  </si>
  <si>
    <t>10.1016/j.chb.2022.107545</t>
  </si>
  <si>
    <t>https://www.scopus.com/pages/publications/85140980364?origin=resultslist</t>
  </si>
  <si>
    <t>2-s2.0-85140980364</t>
  </si>
  <si>
    <t>Gonzalez M.F.; Liu W.; Shirase L.; Tomczak D.L.; Lobbe C.E.; Justenhoven R.; Martin N.R.</t>
  </si>
  <si>
    <t>Allying with AI? Reactions toward human-based, AI/ML-based, and augmented hiring processes</t>
  </si>
  <si>
    <t>10.1016/j.chb.2022.107179</t>
  </si>
  <si>
    <t>https://www.scopus.com/pages/publications/85123028024?origin=resultslist</t>
  </si>
  <si>
    <t>2-s2.0-85123028024</t>
  </si>
  <si>
    <t>Rahman S.M.M.; Wang Y.</t>
  </si>
  <si>
    <t>Mutual trust-based subtask allocation for human–robot collaboration in flexible lightweight assembly in manufacturing</t>
  </si>
  <si>
    <t>Mechatronics</t>
  </si>
  <si>
    <t>10.1016/j.mechatronics.2018.07.007</t>
  </si>
  <si>
    <t>https://www.scopus.com/pages/publications/85050877861?origin=resultslist</t>
  </si>
  <si>
    <t>2-s2.0-85050877861</t>
  </si>
  <si>
    <t>Ahmed M.; Li Y.; Waqas M.; Sheraz M.; Jin D.; Han Z.</t>
  </si>
  <si>
    <t>A survey on socially aware device-to-device communications</t>
  </si>
  <si>
    <t>IEEE Communications Surveys and Tutorials</t>
  </si>
  <si>
    <t>10.1109/COMST.2018.2820069</t>
  </si>
  <si>
    <t>https://www.scopus.com/pages/publications/85045197354?origin=resultslist</t>
  </si>
  <si>
    <t>2-s2.0-85045197354</t>
  </si>
  <si>
    <t>Siegel C.; Dorner T.E.</t>
  </si>
  <si>
    <t>Information technologies for active and assisted living—Influences to the quality of life of an ageing society</t>
  </si>
  <si>
    <t>10.1016/j.ijmedinf.2017.01.012</t>
  </si>
  <si>
    <t>https://www.scopus.com/pages/publications/85009932351?origin=resultslist</t>
  </si>
  <si>
    <t>2-s2.0-85009932351</t>
  </si>
  <si>
    <t>Luria M.; Reig S.; Tan X.Z.; Steinfeld A.; Forlizzi J.; Zimmerman J.</t>
  </si>
  <si>
    <t>Re-embodiment and co-embodiment: Exploration of social presence for robots and conversational agents</t>
  </si>
  <si>
    <t>DIS 2019 - Proceedings of the 2019 ACM Designing Interactive Systems Conference</t>
  </si>
  <si>
    <t>10.1145/3322276.3322340</t>
  </si>
  <si>
    <t>https://www.scopus.com/pages/publications/85070617304?origin=resultslist</t>
  </si>
  <si>
    <t>2-s2.0-85070617304</t>
  </si>
  <si>
    <t>Bergdahl J.; Latikka R.; Celuch M.; Savolainen I.; Soares Mantere E.; Savela N.; Oksanen A.</t>
  </si>
  <si>
    <t>Self-determination and attitudes toward artificial intelligence: Cross-national and longitudinal perspectives</t>
  </si>
  <si>
    <t>10.1016/j.tele.2023.102013</t>
  </si>
  <si>
    <t>https://www.scopus.com/pages/publications/85164222404?origin=resultslist</t>
  </si>
  <si>
    <t>2-s2.0-85164222404</t>
  </si>
  <si>
    <t>Steyvers M.; Tejeda H.; Kerrigan G.; Smyth P.</t>
  </si>
  <si>
    <t>Bayesian modeling of human–AI complementarity</t>
  </si>
  <si>
    <t>e2111547119</t>
  </si>
  <si>
    <t>10.1073/PNAS.2111547119</t>
  </si>
  <si>
    <t>https://www.scopus.com/pages/publications/85126388718?origin=resultslist</t>
  </si>
  <si>
    <t>2-s2.0-85126388718</t>
  </si>
  <si>
    <t>Hohenberger C.; Spörrle M.; Welpe I.M.</t>
  </si>
  <si>
    <t>Not fearless, but self-enhanced: The effects of anxiety on the willingness to use autonomous cars depend on individual levels of self-enhancement</t>
  </si>
  <si>
    <t>10.1016/j.techfore.2016.11.011</t>
  </si>
  <si>
    <t>https://www.scopus.com/pages/publications/85028257136?origin=resultslist</t>
  </si>
  <si>
    <t>2-s2.0-85028257136</t>
  </si>
  <si>
    <t>Guo Y.; Yang X.J.</t>
  </si>
  <si>
    <t>Modeling and Predicting Trust Dynamics in Human–Robot Teaming: A Bayesian Inference Approach</t>
  </si>
  <si>
    <t>10.1007/s12369-020-00703-3</t>
  </si>
  <si>
    <t>https://www.scopus.com/pages/publications/85092058186?origin=resultslist</t>
  </si>
  <si>
    <t>2-s2.0-85092058186</t>
  </si>
  <si>
    <t>Herm L.-V.; Heinrich K.; Wanner J.; Janiesch C.</t>
  </si>
  <si>
    <t>Stop ordering machine learning algorithms by their explainability! A user-centered investigation of performance and explainability</t>
  </si>
  <si>
    <t>10.1016/j.ijinfomgt.2022.102538</t>
  </si>
  <si>
    <t>https://www.scopus.com/pages/publications/85132821601?origin=resultslist</t>
  </si>
  <si>
    <t>2-s2.0-85132821601</t>
  </si>
  <si>
    <t>Shareef M.A.; Kumar V.; Dwivedi Y.K.; Kumar U.; Akram M.S.; Raman R.</t>
  </si>
  <si>
    <t>A new health care system enabled by machine intelligence: Elderly people's trust or losing self control</t>
  </si>
  <si>
    <t>10.1016/j.techfore.2020.120334</t>
  </si>
  <si>
    <t>https://www.scopus.com/pages/publications/85091967064?origin=resultslist</t>
  </si>
  <si>
    <t>2-s2.0-85091967064</t>
  </si>
  <si>
    <t>Maheshwari G.</t>
  </si>
  <si>
    <t>Factors influencing students' intention to adopt and use ChatGPT in higher education: A study in the Vietnamese context</t>
  </si>
  <si>
    <t>Education and Information Technologies</t>
  </si>
  <si>
    <t>10.1007/s10639-023-12333-z</t>
  </si>
  <si>
    <t>https://www.scopus.com/pages/publications/85178903976?origin=resultslist</t>
  </si>
  <si>
    <t>2-s2.0-85178903976</t>
  </si>
  <si>
    <t>Vogelpohl T.; Kühn M.; Hummel T.; Gehlert T.; Vollrath M.</t>
  </si>
  <si>
    <t>Transitioning to manual driving requires additional time after automation deactivation</t>
  </si>
  <si>
    <t>10.1016/j.trf.2018.03.019</t>
  </si>
  <si>
    <t>https://www.scopus.com/pages/publications/85045289928?origin=resultslist</t>
  </si>
  <si>
    <t>2-s2.0-85045289928</t>
  </si>
  <si>
    <t>Lopes P.; Silva E.; Braga C.; Oliveira T.; Rosado L.</t>
  </si>
  <si>
    <t>XAI Systems Evaluation: A Review of Human and Computer-Centred Methods</t>
  </si>
  <si>
    <t>10.3390/app12199423</t>
  </si>
  <si>
    <t>https://www.scopus.com/pages/publications/85139965868?origin=resultslist</t>
  </si>
  <si>
    <t>2-s2.0-85139965868</t>
  </si>
  <si>
    <t>Zscheischler J.; Brunsch R.; Rogga S.; Scholz R.W.</t>
  </si>
  <si>
    <t>Perceived risks and vulnerabilities of employing digitalization and digital data in agriculture – Socially robust orientations from a transdisciplinary process</t>
  </si>
  <si>
    <t>Journal of Cleaner Production</t>
  </si>
  <si>
    <t>10.1016/j.jclepro.2022.132034</t>
  </si>
  <si>
    <t>https://www.scopus.com/pages/publications/85129552481?origin=resultslist</t>
  </si>
  <si>
    <t>2-s2.0-85129552481</t>
  </si>
  <si>
    <t>Detjen H.; Faltaous S.; Pfleging B.; Geisler S.; Schneegass S.</t>
  </si>
  <si>
    <t>How to Increase Automated Vehicles’ Acceptance through In-Vehicle Interaction Design: A Review</t>
  </si>
  <si>
    <t>10.1080/10447318.2020.1860517</t>
  </si>
  <si>
    <t>https://www.scopus.com/pages/publications/85098650021?origin=resultslist</t>
  </si>
  <si>
    <t>2-s2.0-85098650021</t>
  </si>
  <si>
    <t>Magni F.; Park J.; Chao M.M.</t>
  </si>
  <si>
    <t>Humans as Creativity Gatekeepers: Are We Biased Against AI Creativity?</t>
  </si>
  <si>
    <t>Journal of Business and Psychology</t>
  </si>
  <si>
    <t>10.1007/s10869-023-09910-x</t>
  </si>
  <si>
    <t>https://www.scopus.com/pages/publications/85171261982?origin=resultslist</t>
  </si>
  <si>
    <t>2-s2.0-85171261982</t>
  </si>
  <si>
    <t>O'Connor A.M.; Tsafnat G.; Thomas J.; Glasziou P.; Gilbert S.B.; Hutton B.</t>
  </si>
  <si>
    <t>A question of trust: Can we build an evidence base to gain trust in systematic review automation technologies?</t>
  </si>
  <si>
    <t>Systematic Reviews</t>
  </si>
  <si>
    <t>10.1186/s13643-019-1062-0</t>
  </si>
  <si>
    <t>https://www.scopus.com/pages/publications/85062765017?origin=resultslist</t>
  </si>
  <si>
    <t>2-s2.0-85062765017</t>
  </si>
  <si>
    <t>Riar M.; Morschheuser B.; Zarnekow R.; Hamari J.</t>
  </si>
  <si>
    <t>Gamification of cooperation: A framework, literature review and future research agenda</t>
  </si>
  <si>
    <t>10.1016/j.ijinfomgt.2022.102549</t>
  </si>
  <si>
    <t>https://www.scopus.com/pages/publications/85135896180?origin=resultslist</t>
  </si>
  <si>
    <t>2-s2.0-85135896180</t>
  </si>
  <si>
    <t>Calisto F.M.; Santiago C.; Nunes N.; Nascimento J.C.</t>
  </si>
  <si>
    <t>BreastScreening-AI: Evaluating medical intelligent agents for human-AI interactions</t>
  </si>
  <si>
    <t>Artificial Intelligence in Medicine</t>
  </si>
  <si>
    <t>10.1016/j.artmed.2022.102285</t>
  </si>
  <si>
    <t>https://www.scopus.com/pages/publications/85127146666?origin=resultslist</t>
  </si>
  <si>
    <t>2-s2.0-85127146666</t>
  </si>
  <si>
    <t>Elgendy N.; Elragal A.; Päivärinta T.</t>
  </si>
  <si>
    <t>DECAS: a modern data-driven decision theory for big data and analytics</t>
  </si>
  <si>
    <t>10.1080/12460125.2021.1894674</t>
  </si>
  <si>
    <t>https://www.scopus.com/pages/publications/85114626599?origin=resultslist</t>
  </si>
  <si>
    <t>2-s2.0-85114626599</t>
  </si>
  <si>
    <t>Emaminejad N.; Akhavian R.</t>
  </si>
  <si>
    <t>Trustworthy AI and robotics: Implications for the AEC industry</t>
  </si>
  <si>
    <t>Automation in Construction</t>
  </si>
  <si>
    <t>10.1016/j.autcon.2022.104298</t>
  </si>
  <si>
    <t>https://www.scopus.com/pages/publications/85129347035?origin=resultslist</t>
  </si>
  <si>
    <t>2-s2.0-85129347035</t>
  </si>
  <si>
    <t>Hamacher A.; Bianchi-Berthouze N.; Pipe A.G.; Eder K.</t>
  </si>
  <si>
    <t>Believing in BERT: Using expressive communication to enhance trust and counteract operational error in physical Human-robot interaction</t>
  </si>
  <si>
    <t>25th IEEE International Symposium on Robot and Human Interactive Communication, RO-MAN 2016</t>
  </si>
  <si>
    <t>10.1109/ROMAN.2016.7745163</t>
  </si>
  <si>
    <t>https://www.scopus.com/pages/publications/85002954113?origin=resultslist</t>
  </si>
  <si>
    <t>2-s2.0-85002954113</t>
  </si>
  <si>
    <t>Ma S.; Lei Y.; Wang X.; Zheng C.; Shi C.; Yin M.; Ma X.</t>
  </si>
  <si>
    <t>Who Should I Trust: AI or Myself? Leveraging Human and AI Correctness Likelihood to Promote Appropriate Trust in AI-Assisted Decision-Making</t>
  </si>
  <si>
    <t>10.1145/3544548.3581058</t>
  </si>
  <si>
    <t>https://www.scopus.com/pages/publications/85160004296?origin=resultslist</t>
  </si>
  <si>
    <t>2-s2.0-85160004296</t>
  </si>
  <si>
    <t>Gilbert S.J.; Bird A.; Carpenter J.M.; Fleming S.M.; Sachdeva C.; Tsai P.-C.</t>
  </si>
  <si>
    <t>Optimal Use of Reminders: Metacognition, Effort, and Cognitive Offloading</t>
  </si>
  <si>
    <t>Journal of Experimental Psychology: General</t>
  </si>
  <si>
    <t>10.1037/xge0000652</t>
  </si>
  <si>
    <t>https://www.scopus.com/pages/publications/85071621548?origin=resultslist</t>
  </si>
  <si>
    <t>2-s2.0-85071621548</t>
  </si>
  <si>
    <t>Balakrishnan J.; Dwivedi Y.K.; Hughes L.; Boy F.</t>
  </si>
  <si>
    <t>Enablers and Inhibitors of AI-Powered Voice Assistants: A Dual-Factor Approach by Integrating the Status Quo Bias and Technology Acceptance Model</t>
  </si>
  <si>
    <t>10.1007/s10796-021-10203-y</t>
  </si>
  <si>
    <t>https://www.scopus.com/pages/publications/85117099103?origin=resultslist</t>
  </si>
  <si>
    <t>2-s2.0-85117099103</t>
  </si>
  <si>
    <t>Gajos K.Z.; Mamykina L.</t>
  </si>
  <si>
    <t>Do People Engage Cognitively with AI? Impact of AI Assistance on Incidental Learning</t>
  </si>
  <si>
    <t>10.1145/3490099.3511138</t>
  </si>
  <si>
    <t>https://www.scopus.com/pages/publications/85127734910?origin=resultslist</t>
  </si>
  <si>
    <t>2-s2.0-85127734910</t>
  </si>
  <si>
    <t>Lehner O.M.; Ittonen K.; Silvola H.; Ström E.; Wührleitner A.</t>
  </si>
  <si>
    <t>Artificial intelligence based decision-making in accounting and auditing: ethical challenges and normative thinking</t>
  </si>
  <si>
    <t>Accounting, Auditing and Accountability Journal</t>
  </si>
  <si>
    <t>10.1108/AAAJ-09-2020-4934</t>
  </si>
  <si>
    <t>https://www.scopus.com/pages/publications/85132883478?origin=resultslist</t>
  </si>
  <si>
    <t>2-s2.0-85132883478</t>
  </si>
  <si>
    <t>Khastgir S.; Birrell S.; Dhadyalla G.; Jennings P.</t>
  </si>
  <si>
    <t>Calibrating trust through knowledge: Introducing the concept of informed safety for automation in vehicles</t>
  </si>
  <si>
    <t>10.1016/j.trc.2018.07.001</t>
  </si>
  <si>
    <t>https://www.scopus.com/pages/publications/85054188364?origin=resultslist</t>
  </si>
  <si>
    <t>2-s2.0-85054188364</t>
  </si>
  <si>
    <t>Lai V.; Carton S.; Bhatnagar R.; Liao Q.V.; Zhang Y.; Tan C.</t>
  </si>
  <si>
    <t>Human-AI Collaboration via Conditional Delegation: A Case Study of Content Moderation</t>
  </si>
  <si>
    <t>10.1145/3491102.3501999</t>
  </si>
  <si>
    <t>https://www.scopus.com/pages/publications/85130569803?origin=resultslist</t>
  </si>
  <si>
    <t>2-s2.0-85130569803</t>
  </si>
  <si>
    <t>Lim Y.; Gardi A.; Sabatini R.; Ramasamy S.; Kistan T.; Ezer N.; Vince J.; Bolia R.</t>
  </si>
  <si>
    <t>Avionics Human-Machine Interfaces and Interactions for Manned and Unmanned Aircraft</t>
  </si>
  <si>
    <t>Progress in Aerospace Sciences</t>
  </si>
  <si>
    <t>10.1016/j.paerosci.2018.05.002</t>
  </si>
  <si>
    <t>https://www.scopus.com/pages/publications/85050870877?origin=resultslist</t>
  </si>
  <si>
    <t>2-s2.0-85050870877</t>
  </si>
  <si>
    <t>Ramachandran K.K.; Apsara Saleth Mary A.; Hawladar S.; Asokk D.; Bhaskar B.; Pitroda J.R.</t>
  </si>
  <si>
    <t>Machine learning and role of artificial intelligence in optimizing work performance and employee behavior</t>
  </si>
  <si>
    <t>Materials Today: Proceedings</t>
  </si>
  <si>
    <t>10.1016/j.matpr.2021.11.544</t>
  </si>
  <si>
    <t>https://www.scopus.com/pages/publications/85127463614?origin=resultslist</t>
  </si>
  <si>
    <t>2-s2.0-85127463614</t>
  </si>
  <si>
    <t>Ehsan U.; Wintersberger P.; Liao Q.V.; Mara M.; Streit M.; Wachter S.; Riener A.; Riedl M.O.</t>
  </si>
  <si>
    <t>Operationalizing Human-Centered Perspectives in Explainable AI</t>
  </si>
  <si>
    <t>10.1145/3411763.3441342</t>
  </si>
  <si>
    <t>https://www.scopus.com/pages/publications/85105803279?origin=resultslist</t>
  </si>
  <si>
    <t>2-s2.0-85105803279</t>
  </si>
  <si>
    <t>Steyvers M.; Kumar A.</t>
  </si>
  <si>
    <t>Three Challenges for AI-Assisted Decision-Making</t>
  </si>
  <si>
    <t>Perspectives on Psychological Science</t>
  </si>
  <si>
    <t>10.1177/17456916231181102</t>
  </si>
  <si>
    <t>https://www.scopus.com/pages/publications/85165266652?origin=resultslist</t>
  </si>
  <si>
    <t>2-s2.0-85165266652</t>
  </si>
  <si>
    <t>Zastudil C.; Rogalska M.; Kapp C.; Vaughn J.; MacNeil S.</t>
  </si>
  <si>
    <t>Generative AI in Computing Education: Perspectives of Students and Instructors</t>
  </si>
  <si>
    <t>Proceedings - Frontiers in Education Conference, FIE</t>
  </si>
  <si>
    <t>10.1109/FIE58773.2023.10343467</t>
  </si>
  <si>
    <t>https://www.scopus.com/pages/publications/85182997655?origin=resultslist</t>
  </si>
  <si>
    <t>2-s2.0-85182997655</t>
  </si>
  <si>
    <t>Wysocki O.; Davies J.K.; Vigo M.; Armstrong A.C.; Landers D.; Lee R.; Freitas A.</t>
  </si>
  <si>
    <t>Assessing the communication gap between AI models and healthcare professionals: Explainability, utility and trust in AI-driven clinical decision-making</t>
  </si>
  <si>
    <t>10.1016/j.artint.2022.103839</t>
  </si>
  <si>
    <t>https://www.scopus.com/pages/publications/85147088416?origin=resultslist</t>
  </si>
  <si>
    <t>2-s2.0-85147088416</t>
  </si>
  <si>
    <t>Nourani M.; King J.T.; Ragan E.D.</t>
  </si>
  <si>
    <t>The Role of Domain Expertise in User Trust and the Impact of First Impressions with Intelligent Systems</t>
  </si>
  <si>
    <t>10.1609/hcomp.v8i1.7469</t>
  </si>
  <si>
    <t>https://www.scopus.com/pages/publications/85159333623?origin=resultslist</t>
  </si>
  <si>
    <t>2-s2.0-85159333623</t>
  </si>
  <si>
    <t>Kuzior A.; Kwilinski A.; Tkachenko V.</t>
  </si>
  <si>
    <t>Sustainable development of organizations based on the combinatorial model of artificial intelligence</t>
  </si>
  <si>
    <t>Entrepreneurship and Sustainability Issues</t>
  </si>
  <si>
    <t>10.9770/jesi.2019.7.2(39)</t>
  </si>
  <si>
    <t>https://www.scopus.com/pages/publications/85076738255?origin=resultslist</t>
  </si>
  <si>
    <t>2-s2.0-85076738255</t>
  </si>
  <si>
    <t>Schomakers E.-M.; Lidynia C.; Vervier L.S.; Valdez A.C.; Ziefle M.</t>
  </si>
  <si>
    <t>Applying an Extended UTAUT2 Model to Explain User Acceptance of Lifestyle and Therapy Mobile Health Apps: Survey Study</t>
  </si>
  <si>
    <t>JMIR mHealth and uHealth</t>
  </si>
  <si>
    <t>e27095</t>
  </si>
  <si>
    <t>10.2196/26453</t>
  </si>
  <si>
    <t>https://www.scopus.com/pages/publications/85123566685?origin=resultslist</t>
  </si>
  <si>
    <t>2-s2.0-85123566685</t>
  </si>
  <si>
    <t>Holthausen B.E.; Wintersberger P.; Walker B.N.; Riener A.</t>
  </si>
  <si>
    <t>Situational Trust Scale for Automated Driving (STS-AD): Development and Initial Validation</t>
  </si>
  <si>
    <t>Proceedings - 12th International ACM Conference on Automotive User Interfaces and Interactive Vehicular Applications, AutomotiveUI 2020</t>
  </si>
  <si>
    <t>10.1145/3409120.3410637</t>
  </si>
  <si>
    <t>https://www.scopus.com/pages/publications/85093094543?origin=resultslist</t>
  </si>
  <si>
    <t>2-s2.0-85093094543</t>
  </si>
  <si>
    <t>Jang Y.; Choi S.; Kim H.</t>
  </si>
  <si>
    <t>Development and validation of an instrument to measure undergraduate students’ attitudes toward the ethics of artificial intelligence (AT-EAI) and analysis of its difference by gender and experience of AI education</t>
  </si>
  <si>
    <t>10.1007/s10639-022-11086-5</t>
  </si>
  <si>
    <t>https://www.scopus.com/pages/publications/85130250001?origin=resultslist</t>
  </si>
  <si>
    <t>2-s2.0-85130250001</t>
  </si>
  <si>
    <t>Otterbacher J.; Bates J.; Clough P.</t>
  </si>
  <si>
    <t>Competent men and warm women: Gender stereotypes and backlash in image search results</t>
  </si>
  <si>
    <t>10.1145/3025453.3025727</t>
  </si>
  <si>
    <t>https://www.scopus.com/pages/publications/85044852780?origin=resultslist</t>
  </si>
  <si>
    <t>2-s2.0-85044852780</t>
  </si>
  <si>
    <t>Alhamrouni I.; Abdul Kahar N.H.; Salem M.; Swadi M.; Zahroui Y.; Kadhim D.J.; Mohamed F.A.; Alhuyi Nazari M.</t>
  </si>
  <si>
    <t>A Comprehensive Review on the Role of Artificial Intelligence in Power System Stability, Control, and Protection: Insights and Future Directions</t>
  </si>
  <si>
    <t>10.3390/app14146214</t>
  </si>
  <si>
    <t>https://www.scopus.com/pages/publications/85199606619?origin=resultslist</t>
  </si>
  <si>
    <t>2-s2.0-85199606619</t>
  </si>
  <si>
    <t>Lu Z.; Yin M.</t>
  </si>
  <si>
    <t>Human reliance on machine learning models when performance feedback is limited: Heuristics and risks</t>
  </si>
  <si>
    <t>10.1145/3411764.3445562</t>
  </si>
  <si>
    <t>https://www.scopus.com/pages/publications/85106763897?origin=resultslist</t>
  </si>
  <si>
    <t>2-s2.0-85106763897</t>
  </si>
  <si>
    <t>Ruijten P.A.M.; Terken J.M.B.; Chandramouli S.N.</t>
  </si>
  <si>
    <t>Enhancing trust in autonomous vehicles through intelligent user interfaces that mimic human behavior</t>
  </si>
  <si>
    <t>Multimodal Technologies and Interaction</t>
  </si>
  <si>
    <t>10.3390/mti2040062</t>
  </si>
  <si>
    <t>https://www.scopus.com/pages/publications/85070783999?origin=resultslist</t>
  </si>
  <si>
    <t>2-s2.0-85070783999</t>
  </si>
  <si>
    <t>Wang K.; Zhao Y.; Gangadhari R.K.; Li Z.</t>
  </si>
  <si>
    <t>Analyzing the adoption challenges of the internet of things (Iot) and artificial intelligence (ai) for smart cities in china</t>
  </si>
  <si>
    <t>10.3390/su131910983</t>
  </si>
  <si>
    <t>https://www.scopus.com/pages/publications/85116501652?origin=resultslist</t>
  </si>
  <si>
    <t>2-s2.0-85116501652</t>
  </si>
  <si>
    <t>Foroughi B.; Nhan P.V.; Iranmanesh M.; Ghobakhloo M.; Nilashi M.; Yadegaridehkordi E.</t>
  </si>
  <si>
    <t>Determinants of intention to use autonomous vehicles: Findings from PLS-SEM and ANFIS</t>
  </si>
  <si>
    <t>10.1016/j.jretconser.2022.103158</t>
  </si>
  <si>
    <t>https://www.scopus.com/pages/publications/85139727775?origin=resultslist</t>
  </si>
  <si>
    <t>2-s2.0-85139727775</t>
  </si>
  <si>
    <t>Almogren A.S.; Al-Rahmi W.M.; Dahri N.A.</t>
  </si>
  <si>
    <t>Exploring factors influencing the acceptance of ChatGPT in higher education: A smart education perspective</t>
  </si>
  <si>
    <t>e31887</t>
  </si>
  <si>
    <t>10.1016/j.heliyon.2024.e31887</t>
  </si>
  <si>
    <t>https://www.scopus.com/pages/publications/85194058859?origin=resultslist</t>
  </si>
  <si>
    <t>2-s2.0-85194058859</t>
  </si>
  <si>
    <t>Wright J.L.; Chen J.Y.C.; Lakhmani S.G.</t>
  </si>
  <si>
    <t>Agent Transparency and Reliability in Human-Robot Interaction: The Influence on User Confidence and Perceived Reliability</t>
  </si>
  <si>
    <t>10.1109/THMS.2019.2925717</t>
  </si>
  <si>
    <t>https://www.scopus.com/pages/publications/85079421610?origin=resultslist</t>
  </si>
  <si>
    <t>2-s2.0-85079421610</t>
  </si>
  <si>
    <t>Wintersberger P.; Frison A.-K.; Riener A.; Von Sawitzky T.</t>
  </si>
  <si>
    <t>Fostering user acceptance and trust in fully automated vehicles: Evaluating the potential of augmented reality</t>
  </si>
  <si>
    <t>Presence: Teleoperators and Virtual Environments</t>
  </si>
  <si>
    <t>10.1162/PRES_a_00320</t>
  </si>
  <si>
    <t>https://www.scopus.com/pages/publications/85064052716?origin=resultslist</t>
  </si>
  <si>
    <t>2-s2.0-85064052716</t>
  </si>
  <si>
    <t>Hu P.; Lu Y.; Gong Y.Y.</t>
  </si>
  <si>
    <t>Dual humanness and trust in conversational AI: A person-centered approach</t>
  </si>
  <si>
    <t>10.1016/j.chb.2021.106727</t>
  </si>
  <si>
    <t>https://www.scopus.com/pages/publications/85101146114?origin=resultslist</t>
  </si>
  <si>
    <t>2-s2.0-85101146114</t>
  </si>
  <si>
    <t>Alexander V.; Blinder C.; Zak P.J.</t>
  </si>
  <si>
    <t>Why trust an algorithm? Performance, cognition, and neurophysiology</t>
  </si>
  <si>
    <t>10.1016/j.chb.2018.07.026</t>
  </si>
  <si>
    <t>https://www.scopus.com/pages/publications/85053079575?origin=resultslist</t>
  </si>
  <si>
    <t>2-s2.0-85053079575</t>
  </si>
  <si>
    <t>Liao Q.V.; Sundar S.S.</t>
  </si>
  <si>
    <t>Designing for Responsible Trust in AI Systems: A Communication Perspective</t>
  </si>
  <si>
    <t>10.1145/3531146.3533182</t>
  </si>
  <si>
    <t>https://www.scopus.com/pages/publications/85132981287?origin=resultslist</t>
  </si>
  <si>
    <t>2-s2.0-85132981287</t>
  </si>
  <si>
    <t>Dabiran E.; Farivar S.; Wang F.; Grant G.</t>
  </si>
  <si>
    <t>Virtually human: anthropomorphism in virtual influencer marketing</t>
  </si>
  <si>
    <t>10.1016/j.jretconser.2024.103797</t>
  </si>
  <si>
    <t>https://www.scopus.com/pages/publications/85188000212?origin=resultslist</t>
  </si>
  <si>
    <t>2-s2.0-85188000212</t>
  </si>
  <si>
    <t>Ma Z.; Zhang Y.</t>
  </si>
  <si>
    <t>Drivers trust, acceptance, and takeover behaviors in fully automated vehicles: Effects of automated driving styles and driver's driving styles</t>
  </si>
  <si>
    <t>10.1016/j.aap.2021.106238</t>
  </si>
  <si>
    <t>https://www.scopus.com/pages/publications/85114846293?origin=resultslist</t>
  </si>
  <si>
    <t>2-s2.0-85114846293</t>
  </si>
  <si>
    <t>Darvishi A.; Khosravi H.; Sadiq S.; Gašević D.</t>
  </si>
  <si>
    <t>Incorporating AI and learning analytics to build trustworthy peer assessment systems</t>
  </si>
  <si>
    <t>10.1111/bjet.13233</t>
  </si>
  <si>
    <t>https://www.scopus.com/pages/publications/85130273827?origin=resultslist</t>
  </si>
  <si>
    <t>2-s2.0-85130273827</t>
  </si>
  <si>
    <t>Körber M.; Prasch L.; Bengler K.</t>
  </si>
  <si>
    <t>Why Do I Have to Drive Now? Post Hoc Explanations of Takeover Requests</t>
  </si>
  <si>
    <t>10.1177/0018720817747730</t>
  </si>
  <si>
    <t>https://www.scopus.com/pages/publications/85042453710?origin=resultslist</t>
  </si>
  <si>
    <t>2-s2.0-85042453710</t>
  </si>
  <si>
    <t>Panigutti C.; Beretta A.; Giannotti F.; Pedreschi D.</t>
  </si>
  <si>
    <t>Understanding the impact of explanations on advice-taking: a user study for AI-based clinical Decision Support Systems</t>
  </si>
  <si>
    <t>10.1145/3491102.3502104</t>
  </si>
  <si>
    <t>https://www.scopus.com/pages/publications/85130523627?origin=resultslist</t>
  </si>
  <si>
    <t>2-s2.0-85130523627</t>
  </si>
  <si>
    <t>Du H.; Sun Y.; Jiang H.; Islam A.Y.M.A.; Gu X.</t>
  </si>
  <si>
    <t>Exploring the effects of AI literacy in teacher learning: an empirical study</t>
  </si>
  <si>
    <t>10.1057/s41599-024-03101-6</t>
  </si>
  <si>
    <t>https://www.scopus.com/pages/publications/85192015316?origin=resultslist</t>
  </si>
  <si>
    <t>2-s2.0-85192015316</t>
  </si>
  <si>
    <t>Alonso V.; De La Puente P.</t>
  </si>
  <si>
    <t>System transparency in shared autonomy: A mini review</t>
  </si>
  <si>
    <t>Frontiers in Neurorobotics</t>
  </si>
  <si>
    <t>November</t>
  </si>
  <si>
    <t>10.3389/fnbot.2018.00083</t>
  </si>
  <si>
    <t>https://www.scopus.com/pages/publications/85057765063?origin=resultslist</t>
  </si>
  <si>
    <t>2-s2.0-85057765063</t>
  </si>
  <si>
    <t>Ning Y.; Ong M.E.H.; Chakraborty B.; Goldstein B.A.; Ting D.S.W.; Vaughan R.; Liu N.</t>
  </si>
  <si>
    <t>Shapley variable importance cloud for interpretable machine learning</t>
  </si>
  <si>
    <t>10.1016/j.patter.2022.100452</t>
  </si>
  <si>
    <t>https://www.scopus.com/pages/publications/85127750149?origin=resultslist</t>
  </si>
  <si>
    <t>2-s2.0-85127750149</t>
  </si>
  <si>
    <t>Chemweno P.; Pintelon L.; Decre W.</t>
  </si>
  <si>
    <t>Orienting safety assurance with outcomes of hazard analysis and risk assessment: A review of the ISO 15066 standard for collaborative robot systems</t>
  </si>
  <si>
    <t>10.1016/j.ssci.2020.104832</t>
  </si>
  <si>
    <t>https://www.scopus.com/pages/publications/85084851508?origin=resultslist</t>
  </si>
  <si>
    <t>2-s2.0-85084851508</t>
  </si>
  <si>
    <t>Naiseh M.; Al-Thani D.; Jiang N.; Ali R.</t>
  </si>
  <si>
    <t>How the different explanation classes impact trust calibration: The case of clinical decision support systems</t>
  </si>
  <si>
    <t>10.1016/j.ijhcs.2022.102941</t>
  </si>
  <si>
    <t>https://www.scopus.com/pages/publications/85139859152?origin=resultslist</t>
  </si>
  <si>
    <t>2-s2.0-85139859152</t>
  </si>
  <si>
    <t>Prakash A.V.; Das S.</t>
  </si>
  <si>
    <t>Medical practitioner's adoption of intelligent clinical diagnostic decision support systems: A mixed-methods study</t>
  </si>
  <si>
    <t>Information and Management</t>
  </si>
  <si>
    <t>10.1016/j.im.2021.103524</t>
  </si>
  <si>
    <t>https://www.scopus.com/pages/publications/85114842486?origin=resultslist</t>
  </si>
  <si>
    <t>2-s2.0-85114842486</t>
  </si>
  <si>
    <t>Oviedo-Trespalacios O.; Peden A.E.; Cole-Hunter T.; Costantini A.; Haghani M.; Rod J.E.; Kelly S.; Torkamaan H.; Tariq A.; David Albert Newton J.; Gallagher T.; Steinert S.; Filtness A.J.; Reniers G.</t>
  </si>
  <si>
    <t>The risks of using ChatGPT to obtain common safety-related information and advice</t>
  </si>
  <si>
    <t>10.1016/j.ssci.2023.106244</t>
  </si>
  <si>
    <t>https://www.scopus.com/pages/publications/85166335301?origin=resultslist</t>
  </si>
  <si>
    <t>2-s2.0-85166335301</t>
  </si>
  <si>
    <t>Zhang G.; Chong L.; Kotovsky K.; Cagan J.</t>
  </si>
  <si>
    <t>Trust in an AI versus a Human teammate: The effects of teammate identity and performance on Human-AI cooperation</t>
  </si>
  <si>
    <t>10.1016/j.chb.2022.107536</t>
  </si>
  <si>
    <t>https://www.scopus.com/pages/publications/85140287945?origin=resultslist</t>
  </si>
  <si>
    <t>2-s2.0-85140287945</t>
  </si>
  <si>
    <t>Kopp T.; Baumgartner M.; Kinkel S.</t>
  </si>
  <si>
    <t>Success factors for introducing industrial human-robot interaction in practice: an empirically driven framework</t>
  </si>
  <si>
    <t>International Journal of Advanced Manufacturing Technology</t>
  </si>
  <si>
    <t>10.1007/s00170-020-06398-0</t>
  </si>
  <si>
    <t>https://www.scopus.com/pages/publications/85097442312?origin=resultslist</t>
  </si>
  <si>
    <t>Article in press</t>
  </si>
  <si>
    <t>2-s2.0-85097442312</t>
  </si>
  <si>
    <t>de Winter J.C.F.; Eisma Y.B.; Cabrall C.D.D.; Hancock P.A.; Stanton N.A.</t>
  </si>
  <si>
    <t>Situation awareness based on eye movements in relation to the task environment</t>
  </si>
  <si>
    <t>10.1007/s10111-018-0527-6</t>
  </si>
  <si>
    <t>https://www.scopus.com/pages/publications/85053593147?origin=resultslist</t>
  </si>
  <si>
    <t>2-s2.0-85053593147</t>
  </si>
  <si>
    <t>Wynne K.T.; Lyons J.B.</t>
  </si>
  <si>
    <t>An integrative model of autonomous agent teammate-likeness</t>
  </si>
  <si>
    <t>10.1080/1463922X.2016.1260181</t>
  </si>
  <si>
    <t>https://www.scopus.com/pages/publications/85042777798?origin=resultslist</t>
  </si>
  <si>
    <t>2-s2.0-85042777798</t>
  </si>
  <si>
    <t>You S.; Yang C.L.; Li X.</t>
  </si>
  <si>
    <t>Algorithmic versus Human Advice: Does Presenting Prediction Performance Matter for Algorithm Appreciation?</t>
  </si>
  <si>
    <t>10.1080/07421222.2022.2063553</t>
  </si>
  <si>
    <t>https://www.scopus.com/pages/publications/85131373656?origin=resultslist</t>
  </si>
  <si>
    <t>2-s2.0-85131373656</t>
  </si>
  <si>
    <t>Abdullah A.A.H.; Almaqtari F.A.</t>
  </si>
  <si>
    <t>The impact of artificial intelligence and Industry 4.0 on transforming accounting and auditing practices</t>
  </si>
  <si>
    <t>10.1016/j.joitmc.2024.100218</t>
  </si>
  <si>
    <t>https://www.scopus.com/pages/publications/85184052630?origin=resultslist</t>
  </si>
  <si>
    <t>2-s2.0-85184052630</t>
  </si>
  <si>
    <t>Drozdal J.; Weisz J.; Wang D.; Dass G.; Yao B.; Zhao C.; Muller M.; Ju L.; Su H.</t>
  </si>
  <si>
    <t>Trust in AutoML</t>
  </si>
  <si>
    <t>10.1145/3377325.3377501</t>
  </si>
  <si>
    <t>https://www.scopus.com/pages/publications/85082448377?origin=resultslist</t>
  </si>
  <si>
    <t>2-s2.0-85082448377</t>
  </si>
  <si>
    <t>Dumas M.; Fournier F.; Limonad L.; Marrella A.; Montali M.; Rehse J.-R.; Accorsi R.; Calvanese D.; De Giacomo G.; Fahland D.; Gal A.; La Rosa M.; Völzer H.; Weber I.</t>
  </si>
  <si>
    <t>AI-augmented Business Process Management Systems: A Research Manifesto</t>
  </si>
  <si>
    <t>ACM Transactions on Management Information Systems</t>
  </si>
  <si>
    <t>10.1145/3576047</t>
  </si>
  <si>
    <t>https://www.scopus.com/pages/publications/85150297003?origin=resultslist</t>
  </si>
  <si>
    <t>2-s2.0-85150297003</t>
  </si>
  <si>
    <t>Alboqami H.</t>
  </si>
  <si>
    <t>Trust me, I'm an influencer! - Causal recipes for customer trust in artificial intelligence influencers in the retail industry</t>
  </si>
  <si>
    <t>10.1016/j.jretconser.2022.103242</t>
  </si>
  <si>
    <t>https://www.scopus.com/pages/publications/85145208101?origin=resultslist</t>
  </si>
  <si>
    <t>2-s2.0-85145208101</t>
  </si>
  <si>
    <t>Rastogi C.; Zhang Y.; Wei D.; Varshney K.R.; Dhurandhar A.; Tomsett R.</t>
  </si>
  <si>
    <t>Deciding Fast and Slow: The Role of Cognitive Biases in AI-assisted Decision-making</t>
  </si>
  <si>
    <t>10.1145/3512930</t>
  </si>
  <si>
    <t>https://www.scopus.com/pages/publications/85118654272?origin=resultslist</t>
  </si>
  <si>
    <t>2-s2.0-85118654272</t>
  </si>
  <si>
    <t>Rodrigues A.R.D.; Ferreira F.A.F.; Teixeira F.J.C.S.N.; Zopounidis C.</t>
  </si>
  <si>
    <t>Artificial intelligence, digital transformation and cybersecurity in the banking sector: A multi-stakeholder cognition-driven framework</t>
  </si>
  <si>
    <t>Research in International Business and Finance</t>
  </si>
  <si>
    <t>10.1016/j.ribaf.2022.101616</t>
  </si>
  <si>
    <t>https://www.scopus.com/pages/publications/85123262234?origin=resultslist</t>
  </si>
  <si>
    <t>2-s2.0-85123262234</t>
  </si>
  <si>
    <t>Fel T.; Picard A.; Bethune L.; Boissin T.; Vigouroux D.; Colin J.; Cadènc R.; Serre T.</t>
  </si>
  <si>
    <t>CRAFT: Concept Recursive Activation FacTorization for Explainability</t>
  </si>
  <si>
    <t>Proceedings of the IEEE Computer Society Conference on Computer Vision and Pattern Recognition</t>
  </si>
  <si>
    <t>2023-June</t>
  </si>
  <si>
    <t>10.1109/CVPR52729.2023.00266</t>
  </si>
  <si>
    <t>https://www.scopus.com/pages/publications/85187182041?origin=resultslist</t>
  </si>
  <si>
    <t>2-s2.0-85187182041</t>
  </si>
  <si>
    <t>Iyer R.; Li Y.; Li H.; Lewis M.; Sundar R.; Sycara K.</t>
  </si>
  <si>
    <t>Transparency and Explanation in Deep Reinforcement Learning Neural Networks</t>
  </si>
  <si>
    <t>AIES 2018 - Proceedings of the 2018 AAAI/ACM Conference on AI, Ethics, and Society</t>
  </si>
  <si>
    <t>10.1145/3278721.3278776</t>
  </si>
  <si>
    <t>https://www.scopus.com/pages/publications/85061067786?origin=resultslist</t>
  </si>
  <si>
    <t>2-s2.0-85061067786</t>
  </si>
  <si>
    <t>Wani N.A.; Kumar R.; Mamta; Bedi J.; Rida I.</t>
  </si>
  <si>
    <t>Explainable AI-driven IoMT fusion: Unravelling techniques, opportunities, and challenges with Explainable AI in healthcare</t>
  </si>
  <si>
    <t>10.1016/j.inffus.2024.102472</t>
  </si>
  <si>
    <t>https://www.scopus.com/pages/publications/85193944061?origin=resultslist</t>
  </si>
  <si>
    <t>2-s2.0-85193944061</t>
  </si>
  <si>
    <t>Wang X.; Kim H.; Rahman S.; Mitra K.; Miao Z.</t>
  </si>
  <si>
    <t>Human-LLM Collaborative Annotation Through Effective Verification of LLM Labels</t>
  </si>
  <si>
    <t>10.1145/3613904.3641960</t>
  </si>
  <si>
    <t>https://www.scopus.com/pages/publications/85188750819?origin=resultslist</t>
  </si>
  <si>
    <t>2-s2.0-85188750819</t>
  </si>
  <si>
    <t>Martinez-Martin N.; Luo Z.; Kaushal A.; Adeli E.; Haque A.; Kelly S.S.; Wieten S.; Cho M.K.; Magnus D.; Fei-Fei L.; Schulman K.; Milstein A.</t>
  </si>
  <si>
    <t>Ethical issues in using ambient intelligence in health-care settings</t>
  </si>
  <si>
    <t>e115</t>
  </si>
  <si>
    <t>e123</t>
  </si>
  <si>
    <t>10.1016/S2589-7500(20)30275-2</t>
  </si>
  <si>
    <t>https://www.scopus.com/pages/publications/85099715522?origin=resultslist</t>
  </si>
  <si>
    <t>2-s2.0-85099715522</t>
  </si>
  <si>
    <t>Liu C.; Chu X.; Wu W.; Li S.; He Z.; Zheng M.; Zhou H.; Li Z.</t>
  </si>
  <si>
    <t>Human–machine cooperation research for navigation of maritime autonomous surface ships: A review and consideration</t>
  </si>
  <si>
    <t>Ocean Engineering</t>
  </si>
  <si>
    <t>10.1016/j.oceaneng.2022.110555</t>
  </si>
  <si>
    <t>https://www.scopus.com/pages/publications/85123588956?origin=resultslist</t>
  </si>
  <si>
    <t>2-s2.0-85123588956</t>
  </si>
  <si>
    <t>Akalin N.; Kristoffersson A.; Loutfi A.</t>
  </si>
  <si>
    <t>Do you feel safe with your robot? Factors influencing perceived safety in human-robot interaction based on subjective and objective measures</t>
  </si>
  <si>
    <t>10.1016/j.ijhcs.2021.102744</t>
  </si>
  <si>
    <t>https://www.scopus.com/pages/publications/85119702541?origin=resultslist</t>
  </si>
  <si>
    <t>2-s2.0-85119702541</t>
  </si>
  <si>
    <t>Hartwich F.; Witzlack C.; Beggiato M.; Krems J.F.</t>
  </si>
  <si>
    <t>The first impression counts – A combined driving simulator and test track study on the development of trust and acceptance of highly automated driving</t>
  </si>
  <si>
    <t>10.1016/j.trf.2018.05.012</t>
  </si>
  <si>
    <t>https://www.scopus.com/pages/publications/85048550816?origin=resultslist</t>
  </si>
  <si>
    <t>2-s2.0-85048550816</t>
  </si>
  <si>
    <t>Chiang A.-H.; Trimi S.; Lo Y.-J.</t>
  </si>
  <si>
    <t>Emotion and service quality of anthropomorphic robots</t>
  </si>
  <si>
    <t>10.1016/j.techfore.2022.121550</t>
  </si>
  <si>
    <t>https://www.scopus.com/pages/publications/85123953711?origin=resultslist</t>
  </si>
  <si>
    <t>2-s2.0-85123953711</t>
  </si>
  <si>
    <t>Degas A.; Islam M.R.; Hurter C.; Barua S.; Rahman H.; Poudel M.; Ruscio D.; Ahmed M.U.; Begum S.; Rahman M.A.; Bonelli S.; Cartocci G.; Di Flumeri G.; Borghini G.; Babiloni F.; Aricó P.</t>
  </si>
  <si>
    <t>A Survey on Artificial Intelligence (AI) and eXplainable AI in Air Traffic Management: Current Trends and Development with Future Research Trajectory</t>
  </si>
  <si>
    <t>10.3390/app12031295</t>
  </si>
  <si>
    <t>https://www.scopus.com/pages/publications/85123696145?origin=resultslist</t>
  </si>
  <si>
    <t>2-s2.0-85123696145</t>
  </si>
  <si>
    <t>Fan X.; Chao D.; Zhang Z.; Wang D.; Li X.; Tian F.</t>
  </si>
  <si>
    <t>Utilization of self-diagnosis health chatbots in real-world settings: Case study</t>
  </si>
  <si>
    <t>e19928</t>
  </si>
  <si>
    <t>10.2196/19928</t>
  </si>
  <si>
    <t>https://www.scopus.com/pages/publications/85099267127?origin=resultslist</t>
  </si>
  <si>
    <t>2-s2.0-85099267127</t>
  </si>
  <si>
    <t>Ren M.; Chen N.; Qiu H.</t>
  </si>
  <si>
    <t>Human-machine Collaborative Decision-making: An Evolutionary Roadmap Based on Cognitive Intelligence</t>
  </si>
  <si>
    <t>10.1007/s12369-023-01020-1</t>
  </si>
  <si>
    <t>https://www.scopus.com/pages/publications/85160866289?origin=resultslist</t>
  </si>
  <si>
    <t>2-s2.0-85160866289</t>
  </si>
  <si>
    <t>Glaser V.L.; Pollock N.; D’Adderio L.</t>
  </si>
  <si>
    <t>The Biography of an Algorithm: Performing algorithmic technologies in organizations</t>
  </si>
  <si>
    <t>Organization Theory</t>
  </si>
  <si>
    <t>10.1177/26317877211004609</t>
  </si>
  <si>
    <t>https://www.scopus.com/pages/publications/85113169762?origin=resultslist</t>
  </si>
  <si>
    <t>2-s2.0-85113169762</t>
  </si>
  <si>
    <t>Rosenbacke R.; Melhus Å.; McKee M.; Stuckler D.</t>
  </si>
  <si>
    <t>How Explainable Artificial Intelligence Can Increase or Decrease Clinicians’ Trust in AI Applications in Health Care: Systematic Review</t>
  </si>
  <si>
    <t>JMIR AI</t>
  </si>
  <si>
    <t>e53207</t>
  </si>
  <si>
    <t>10.2196/53207</t>
  </si>
  <si>
    <t>https://www.scopus.com/pages/publications/105006908067?origin=resultslist</t>
  </si>
  <si>
    <t>2-s2.0-105006908067</t>
  </si>
  <si>
    <t>Kassens-Noor E.; Kotval-Karamchandani Z.; Cai M.</t>
  </si>
  <si>
    <t>Willingness to ride and perceptions of autonomous public transit</t>
  </si>
  <si>
    <t>10.1016/j.tra.2020.05.010</t>
  </si>
  <si>
    <t>https://www.scopus.com/pages/publications/85086072007?origin=resultslist</t>
  </si>
  <si>
    <t>2-s2.0-85086072007</t>
  </si>
  <si>
    <t>Ye Y.; You H.; Du J.</t>
  </si>
  <si>
    <t>Improved Trust in Human-Robot Collaboration With ChatGPT</t>
  </si>
  <si>
    <t>10.1109/ACCESS.2023.3282111</t>
  </si>
  <si>
    <t>https://www.scopus.com/pages/publications/85161597200?origin=resultslist</t>
  </si>
  <si>
    <t>2-s2.0-85161597200</t>
  </si>
  <si>
    <t>Lockey S.; Gillespie N.; Holm D.; Someh I.A.</t>
  </si>
  <si>
    <t>A review of trust in artificial intelligence: Challenges, vulnerabilities and future directions</t>
  </si>
  <si>
    <t>Proceedings of the Annual Hawaii International Conference on System Sciences</t>
  </si>
  <si>
    <t>2020-January</t>
  </si>
  <si>
    <t>https://www.scopus.com/pages/publications/85108370948?origin=resultslist</t>
  </si>
  <si>
    <t>2-s2.0-85108370948</t>
  </si>
  <si>
    <t>Chen V.; Liao Q.V.; Wortman Vaughan J.; Bansal G.</t>
  </si>
  <si>
    <t>Understanding the Role of Human Intuition on Reliance in Human-AI Decision-Making with Explanations</t>
  </si>
  <si>
    <t>10.1145/3610219</t>
  </si>
  <si>
    <t>https://www.scopus.com/pages/publications/85174689339?origin=resultslist</t>
  </si>
  <si>
    <t>2-s2.0-85174689339</t>
  </si>
  <si>
    <t>Mersha M.; Lam K.; Wood J.; AlShami A.K.; Kalita J.</t>
  </si>
  <si>
    <t>Explainable artificial intelligence: A survey of needs, techniques, applications, and future direction</t>
  </si>
  <si>
    <t>10.1016/j.neucom.2024.128111</t>
  </si>
  <si>
    <t>https://www.scopus.com/pages/publications/85196938809?origin=resultslist</t>
  </si>
  <si>
    <t>2-s2.0-85196938809</t>
  </si>
  <si>
    <t>Lin M.-I.B.; Huang Y.-P.</t>
  </si>
  <si>
    <t>The impact of walking while using a smartphone on pedestrians’ awareness of roadside events</t>
  </si>
  <si>
    <t>10.1016/j.aap.2017.02.005</t>
  </si>
  <si>
    <t>https://www.scopus.com/pages/publications/85012250250?origin=resultslist</t>
  </si>
  <si>
    <t>2-s2.0-85012250250</t>
  </si>
  <si>
    <t>Ha T.; Kim S.; Seo D.; Lee S.</t>
  </si>
  <si>
    <t>Effects of explanation types and perceived risk on trust in autonomous vehicles</t>
  </si>
  <si>
    <t>10.1016/j.trf.2020.06.021</t>
  </si>
  <si>
    <t>https://www.scopus.com/pages/publications/85088224257?origin=resultslist</t>
  </si>
  <si>
    <t>2-s2.0-85088224257</t>
  </si>
  <si>
    <t>Yang R.; Wibowo S.</t>
  </si>
  <si>
    <t>User trust in artificial intelligence: A comprehensive conceptual framework</t>
  </si>
  <si>
    <t>10.1007/s12525-022-00592-6</t>
  </si>
  <si>
    <t>https://www.scopus.com/pages/publications/85141343234?origin=resultslist</t>
  </si>
  <si>
    <t>2-s2.0-85141343234</t>
  </si>
  <si>
    <t>Cunningham M.L.; Regan M.A.; Horberry T.; Weeratunga K.; Dixit V.</t>
  </si>
  <si>
    <t>Public opinion about automated vehicles in Australia: Results from a large-scale national survey</t>
  </si>
  <si>
    <t>10.1016/j.tra.2019.08.002</t>
  </si>
  <si>
    <t>https://www.scopus.com/pages/publications/85070514654?origin=resultslist</t>
  </si>
  <si>
    <t>2-s2.0-85070514654</t>
  </si>
  <si>
    <t>Schaefer K.E.; Straub E.R.; Chen J.Y.C.; Putney J.; Evans A.W., III</t>
  </si>
  <si>
    <t>Communicating intent to develop shared situation awareness and engender trust in human-agent teams</t>
  </si>
  <si>
    <t>Cognitive Systems Research</t>
  </si>
  <si>
    <t>10.1016/j.cogsys.2017.02.002</t>
  </si>
  <si>
    <t>https://www.scopus.com/pages/publications/85014752866?origin=resultslist</t>
  </si>
  <si>
    <t>2-s2.0-85014752866</t>
  </si>
  <si>
    <t>Hu W.-L.; Akash K.; Jain N.; Reid T.</t>
  </si>
  <si>
    <t>Real-Time Sensing of Trust in Human-Machine Interactions</t>
  </si>
  <si>
    <t>IFAC-PapersOnLine</t>
  </si>
  <si>
    <t>10.1016/j.ifacol.2016.12.188</t>
  </si>
  <si>
    <t>https://www.scopus.com/pages/publications/85009812078?origin=resultslist</t>
  </si>
  <si>
    <t>2-s2.0-85009812078</t>
  </si>
  <si>
    <t>Brauner P.; Dalibor M.; Jarke M.; Kunze I.; Koren I.; Lakemeyer G.; Liebenberg M.; Michael J.; Pennekamp J.; Quix C.; Rumpe B.; Van Der Aalst W.; Wehrle K.; Wortmann A.; Ziefle M.</t>
  </si>
  <si>
    <t>A Computer Science Perspective on Digital Transformation in Production</t>
  </si>
  <si>
    <t>ACM Transactions on Internet of Things</t>
  </si>
  <si>
    <t>10.1145/3502265</t>
  </si>
  <si>
    <t>https://www.scopus.com/pages/publications/85121783951?origin=resultslist</t>
  </si>
  <si>
    <t>2-s2.0-85121783951</t>
  </si>
  <si>
    <t>Waardenburg L.; Huysman M.; Sergeeva A.V.</t>
  </si>
  <si>
    <t>In the Land of the Blind, the One-Eyed Man Is King: Knowledge Brokerage in the Age of Learning Algorithms</t>
  </si>
  <si>
    <t>10.1287/ORSC.2021.1544</t>
  </si>
  <si>
    <t>https://www.scopus.com/pages/publications/85125596662?origin=resultslist</t>
  </si>
  <si>
    <t>2-s2.0-85125596662</t>
  </si>
  <si>
    <t>Cicchino J.B.</t>
  </si>
  <si>
    <t>Effects of automatic emergency braking systems on pedestrian crash risk</t>
  </si>
  <si>
    <t>10.1016/j.aap.2022.106686</t>
  </si>
  <si>
    <t>https://www.scopus.com/pages/publications/85130417262?origin=resultslist</t>
  </si>
  <si>
    <t>2-s2.0-85130417262</t>
  </si>
  <si>
    <t>Kawakami A.; Sivaraman V.; Cheng H.-F.; Stapleton L.; Cheng Y.; Qing D.; Perer A.; Wu Z.S.; Zhu H.; Holstein K.</t>
  </si>
  <si>
    <t>Improving Human-AI Partnerships in Child Welfare: Understanding Worker Practices, Challenges, and Desires for Algorithmic Decision Support</t>
  </si>
  <si>
    <t>10.1145/3491102.3517439</t>
  </si>
  <si>
    <t>https://www.scopus.com/pages/publications/85130556468?origin=resultslist</t>
  </si>
  <si>
    <t>2-s2.0-85130556468</t>
  </si>
  <si>
    <t>Holländer K.; Wintersberger P.; Butz A.</t>
  </si>
  <si>
    <t>Overtrust in external cues of automated vehicles: An experimental investigation</t>
  </si>
  <si>
    <t>Proceedings - 11th International ACM Conference on Automotive User Interfaces and Interactive Vehicular Applications, AutomotiveUI 2019</t>
  </si>
  <si>
    <t>10.1145/3342197.3344528</t>
  </si>
  <si>
    <t>https://www.scopus.com/pages/publications/85073474671?origin=resultslist</t>
  </si>
  <si>
    <t>2-s2.0-85073474671</t>
  </si>
  <si>
    <t>Chen D.; Esperança J.P.; Wang S.</t>
  </si>
  <si>
    <t>The Impact of Artificial Intelligence on Firm Performance: An Application of the Resource-Based View to e-Commerce Firms</t>
  </si>
  <si>
    <t>10.3389/fpsyg.2022.884830</t>
  </si>
  <si>
    <t>https://www.scopus.com/pages/publications/85128660914?origin=resultslist</t>
  </si>
  <si>
    <t>2-s2.0-85128660914</t>
  </si>
  <si>
    <t>Zhang H.; Wu B.; Yuan X.; Pan S.; Tong H.; Pei J.</t>
  </si>
  <si>
    <t>Trustworthy Graph Neural Networks: Aspects, Methods, and Trends</t>
  </si>
  <si>
    <t>10.1109/JPROC.2024.3369017</t>
  </si>
  <si>
    <t>https://www.scopus.com/pages/publications/85188959815?origin=resultslist</t>
  </si>
  <si>
    <t>2-s2.0-85188959815</t>
  </si>
  <si>
    <t>Hogg T.; Ghosh S.</t>
  </si>
  <si>
    <t>Autonomous merchant vessels: examination of factors that impact the effective implementation of unmanned ships</t>
  </si>
  <si>
    <t>Australian Journal of Maritime and Ocean Affairs</t>
  </si>
  <si>
    <t>10.1080/18366503.2016.1229244</t>
  </si>
  <si>
    <t>https://www.scopus.com/pages/publications/85128781574?origin=resultslist</t>
  </si>
  <si>
    <t>2-s2.0-85128781574</t>
  </si>
  <si>
    <t>Brauner P.; Hick A.; Philipsen R.; Ziefle M.</t>
  </si>
  <si>
    <t>What does the public think about artificial intelligence?—A criticality map to understand bias in the public perception of AI</t>
  </si>
  <si>
    <t>10.3389/fcomp.2023.1113903</t>
  </si>
  <si>
    <t>https://www.scopus.com/pages/publications/85151962980?origin=resultslist</t>
  </si>
  <si>
    <t>2-s2.0-85151962980</t>
  </si>
  <si>
    <t>Batarseh F.A.; Freeman L.; Huang C.-H.</t>
  </si>
  <si>
    <t>A survey on artificial intelligence assurance</t>
  </si>
  <si>
    <t>Journal of Big Data</t>
  </si>
  <si>
    <t>10.1186/s40537-021-00445-7</t>
  </si>
  <si>
    <t>https://www.scopus.com/pages/publications/85104988842?origin=resultslist</t>
  </si>
  <si>
    <t>2-s2.0-85104988842</t>
  </si>
  <si>
    <t>Merritt S.M.; Ako-Brew A.; Bryant W.J.; Staley A.; McKenna M.; Leone A.; Shirase L.</t>
  </si>
  <si>
    <t>Automation-induced complacency potential: Development and validation of a new scale</t>
  </si>
  <si>
    <t>FEB</t>
  </si>
  <si>
    <t>10.3389/fpsyg.2019.00225</t>
  </si>
  <si>
    <t>https://www.scopus.com/pages/publications/85064415776?origin=resultslist</t>
  </si>
  <si>
    <t>2-s2.0-85064415776</t>
  </si>
  <si>
    <t>Chancey E.T.; Bliss J.P.; Yamani Y.; Handley H.A.H.</t>
  </si>
  <si>
    <t>Trust and the Compliance-Reliance Paradigm: The Effects of Risk, Error Bias, and Reliability on Trust and Dependence</t>
  </si>
  <si>
    <t>10.1177/0018720816682648</t>
  </si>
  <si>
    <t>https://www.scopus.com/pages/publications/85018776235?origin=resultslist</t>
  </si>
  <si>
    <t>2-s2.0-85018776235</t>
  </si>
  <si>
    <t>Hefron R.G.; Borghetti B.J.; Christensen J.C.; Kabban C.M.S.</t>
  </si>
  <si>
    <t>Deep long short-term memory structures model temporal dependencies improving cognitive workload estimation</t>
  </si>
  <si>
    <t>Pattern Recognition Letters</t>
  </si>
  <si>
    <t>10.1016/j.patrec.2017.05.020</t>
  </si>
  <si>
    <t>https://www.scopus.com/pages/publications/85019962571?origin=resultslist</t>
  </si>
  <si>
    <t>2-s2.0-85019962571</t>
  </si>
  <si>
    <t>Yang L.W.; Aggarwal P.; McGill A.L.</t>
  </si>
  <si>
    <t>The 3 C's of anthropomorphism: Connection, comprehension, and competition</t>
  </si>
  <si>
    <t>Consumer Psychology Review</t>
  </si>
  <si>
    <t>10.1002/ARCP.1054</t>
  </si>
  <si>
    <t>https://www.scopus.com/pages/publications/105033271337?origin=resultslist</t>
  </si>
  <si>
    <t>2-s2.0-105033271337</t>
  </si>
  <si>
    <t>Suresh H.; Gomez S.R.; Nam K.K.; Satyanarayan A.</t>
  </si>
  <si>
    <t>Beyond expertise and roles: A framework to characterize the stakeholders of interpretable machine learning and their needs</t>
  </si>
  <si>
    <t>10.1145/3411764.3445088</t>
  </si>
  <si>
    <t>https://www.scopus.com/pages/publications/85106731437?origin=resultslist</t>
  </si>
  <si>
    <t>2-s2.0-85106731437</t>
  </si>
  <si>
    <t>Verma A.A.; Murray J.; Greiner R.; Cohen J.P.; Shojania K.G.; Ghassemi M.; Straus S.E.; Pou-Prom C.; Mamdani M.</t>
  </si>
  <si>
    <t>Implementing machine learning in medicine</t>
  </si>
  <si>
    <t>CMAJ</t>
  </si>
  <si>
    <t>E1351</t>
  </si>
  <si>
    <t>E1357</t>
  </si>
  <si>
    <t>10.1503/cmaj.202434</t>
  </si>
  <si>
    <t>https://www.scopus.com/pages/publications/85114137858?origin=resultslist</t>
  </si>
  <si>
    <t>2-s2.0-85114137858</t>
  </si>
  <si>
    <t>Liu H.; Lai V.; Tan C.</t>
  </si>
  <si>
    <t>Understanding the Effect of Out-of-distribution Examples and Interactive Explanations on Human-AI Decision Making</t>
  </si>
  <si>
    <t>10.1145/3479552</t>
  </si>
  <si>
    <t>https://www.scopus.com/pages/publications/85117961777?origin=resultslist</t>
  </si>
  <si>
    <t>2-s2.0-85117961777</t>
  </si>
  <si>
    <t>Zhu C.; Lu Y.; Jiang L.; Yu Y.</t>
  </si>
  <si>
    <t>Liquid Crystal Soft Actuators and Robots toward Mixed Reality</t>
  </si>
  <si>
    <t>Advanced Functional Materials</t>
  </si>
  <si>
    <t>10.1002/adfm.202009835</t>
  </si>
  <si>
    <t>https://www.scopus.com/pages/publications/85100857298?origin=resultslist</t>
  </si>
  <si>
    <t>2-s2.0-85100857298</t>
  </si>
  <si>
    <t>Weisz J.D.; Muller M.; Houde S.; Richards J.; Ross S.I.; Martinez F.; Agarwal M.; Talamadupula K.</t>
  </si>
  <si>
    <t>Perfection Not Required? Human-AI Partnerships in Code Translation</t>
  </si>
  <si>
    <t>10.1145/3397481.3450656</t>
  </si>
  <si>
    <t>https://www.scopus.com/pages/publications/85104548499?origin=resultslist</t>
  </si>
  <si>
    <t>2-s2.0-85104548499</t>
  </si>
  <si>
    <t>Chen Q.Q.; Park H.J.</t>
  </si>
  <si>
    <t>How anthropomorphism affects trust in intelligent personal assistants</t>
  </si>
  <si>
    <t>Industrial Management and Data Systems</t>
  </si>
  <si>
    <t>10.1108/IMDS-12-2020-0761</t>
  </si>
  <si>
    <t>https://www.scopus.com/pages/publications/85113890942?origin=resultslist</t>
  </si>
  <si>
    <t>2-s2.0-85113890942</t>
  </si>
  <si>
    <t>Jin W.; Li X.; Fatehi M.; Hamarneh G.</t>
  </si>
  <si>
    <t>Guidelines and evaluation of clinical explainable AI in medical image analysis</t>
  </si>
  <si>
    <t>Medical Image Analysis</t>
  </si>
  <si>
    <t>10.1016/j.media.2022.102684</t>
  </si>
  <si>
    <t>https://www.scopus.com/pages/publications/85143804700?origin=resultslist</t>
  </si>
  <si>
    <t>2-s2.0-85143804700</t>
  </si>
  <si>
    <t>AlHogail A.</t>
  </si>
  <si>
    <t>Improving IoT Technology Adoption through Improving Consumer Trust</t>
  </si>
  <si>
    <t>Technologies</t>
  </si>
  <si>
    <t>10.3390/technologies6030064</t>
  </si>
  <si>
    <t>https://www.scopus.com/pages/publications/85120522756?origin=resultslist</t>
  </si>
  <si>
    <t>2-s2.0-85120522756</t>
  </si>
  <si>
    <t>Kaber D.B.</t>
  </si>
  <si>
    <t>Issues in Human–Automation Interaction Modeling: Presumptive Aspects of Frameworks of Types and Levels of Automation</t>
  </si>
  <si>
    <t>10.1177/1555343417737203</t>
  </si>
  <si>
    <t>https://www.scopus.com/pages/publications/85042620863?origin=resultslist</t>
  </si>
  <si>
    <t>2-s2.0-85042620863</t>
  </si>
  <si>
    <t>van de Merwe K.; Mallam S.; Nazir S.</t>
  </si>
  <si>
    <t>Agent Transparency, Situation Awareness, Mental Workload, and Operator Performance: A Systematic Literature Review</t>
  </si>
  <si>
    <t>10.1177/00187208221077804</t>
  </si>
  <si>
    <t>https://www.scopus.com/pages/publications/85126353317?origin=resultslist</t>
  </si>
  <si>
    <t>2-s2.0-85126353317</t>
  </si>
  <si>
    <t>Hyder Z.; Siau K.; Nah F.</t>
  </si>
  <si>
    <t>Artificial intelligence, machine learning, and autonomous technologies in mining industry</t>
  </si>
  <si>
    <t>10.4018/JDM.2019040104</t>
  </si>
  <si>
    <t>https://www.scopus.com/pages/publications/85068701748?origin=resultslist</t>
  </si>
  <si>
    <t>2-s2.0-85068701748</t>
  </si>
  <si>
    <t>Dahl M.; Magesh V.; Suzgun M.; Ho D.E.</t>
  </si>
  <si>
    <t>Large Legal Fictions: Profiling Legal Hallucinations in Large Language Models</t>
  </si>
  <si>
    <t>Journal of Legal Analysis</t>
  </si>
  <si>
    <t>10.1093/jla/laae003</t>
  </si>
  <si>
    <t>https://www.scopus.com/pages/publications/85197048519?origin=resultslist</t>
  </si>
  <si>
    <t>2-s2.0-85197048519</t>
  </si>
  <si>
    <t>Lai V.; Liu H.; Tan C.</t>
  </si>
  <si>
    <t>"Why is 'Chicago' deceptive?" Towards Building Model-Driven Tutorials for Humans</t>
  </si>
  <si>
    <t>10.1145/3313831.3376873</t>
  </si>
  <si>
    <t>https://www.scopus.com/pages/publications/85091294383?origin=resultslist</t>
  </si>
  <si>
    <t>2-s2.0-85091294383</t>
  </si>
  <si>
    <t>Ötting S.K.; Maier G.W.</t>
  </si>
  <si>
    <t>The importance of procedural justice in Human–Machine Interactions: Intelligent systems as new decision agents in organizations</t>
  </si>
  <si>
    <t>10.1016/j.chb.2018.07.022</t>
  </si>
  <si>
    <t>https://www.scopus.com/pages/publications/85053075271?origin=resultslist</t>
  </si>
  <si>
    <t>2-s2.0-85053075271</t>
  </si>
  <si>
    <t>Ye T.; Xue J.; He M.; Gu J.; Lin H.; Xu B.; Cheng Y.</t>
  </si>
  <si>
    <t>Psychosocial factors affecting artificial intelligence adoption in health care in China: Cross-sectional study</t>
  </si>
  <si>
    <t>e14316</t>
  </si>
  <si>
    <t>10.2196/14316</t>
  </si>
  <si>
    <t>https://www.scopus.com/pages/publications/85073603025?origin=resultslist</t>
  </si>
  <si>
    <t>2-s2.0-85073603025</t>
  </si>
  <si>
    <t>Du H.; Zhu G.; Zheng J.</t>
  </si>
  <si>
    <t>Why travelers trust and accept self-driving cars: An empirical study</t>
  </si>
  <si>
    <t>Travel Behaviour and Society</t>
  </si>
  <si>
    <t>10.1016/j.tbs.2020.06.012</t>
  </si>
  <si>
    <t>https://www.scopus.com/pages/publications/85089532844?origin=resultslist</t>
  </si>
  <si>
    <t>2-s2.0-85089532844</t>
  </si>
  <si>
    <t>Chen C.-F.</t>
  </si>
  <si>
    <t>Factors affecting the decision to use autonomous shuttle services: Evidence from a scooter-dominant urban context</t>
  </si>
  <si>
    <t>10.1016/j.trf.2019.10.016</t>
  </si>
  <si>
    <t>https://www.scopus.com/pages/publications/85074846495?origin=resultslist</t>
  </si>
  <si>
    <t>2-s2.0-85074846495</t>
  </si>
  <si>
    <t>Bhaskara A.; Skinner M.; Loft S.</t>
  </si>
  <si>
    <t>Agent Transparency: A Review of Current Theory and Evidence</t>
  </si>
  <si>
    <t>10.1109/THMS.2020.2965529</t>
  </si>
  <si>
    <t>https://www.scopus.com/pages/publications/85079061290?origin=resultslist</t>
  </si>
  <si>
    <t>2-s2.0-85079061290</t>
  </si>
  <si>
    <t>Wesche J.S.; Sonderegger A.</t>
  </si>
  <si>
    <t>When computers take the lead: The automation of leadership</t>
  </si>
  <si>
    <t>10.1016/j.chb.2019.07.027</t>
  </si>
  <si>
    <t>https://www.scopus.com/pages/publications/85069850976?origin=resultslist</t>
  </si>
  <si>
    <t>2-s2.0-85069850976</t>
  </si>
  <si>
    <t>El Hedhli K.; Zourrig H.; Al Khateeb A.; Alnawas I.</t>
  </si>
  <si>
    <t>Stereotyping human-like virtual influencers in retailing: Does warmth prevail over competence?</t>
  </si>
  <si>
    <t>10.1016/j.jretconser.2023.103459</t>
  </si>
  <si>
    <t>https://www.scopus.com/pages/publications/85163401895?origin=resultslist</t>
  </si>
  <si>
    <t>2-s2.0-85163401895</t>
  </si>
  <si>
    <t>Foehr J.; Germelmann C.C.</t>
  </si>
  <si>
    <t>Alexa, can i trust you? Exploring consumer paths to trust in smart voice-interaction technologies</t>
  </si>
  <si>
    <t>Journal of the Association for Consumer Research</t>
  </si>
  <si>
    <t>10.1086/707731</t>
  </si>
  <si>
    <t>https://www.scopus.com/pages/publications/85087053769?origin=resultslist</t>
  </si>
  <si>
    <t>2-s2.0-85087053769</t>
  </si>
  <si>
    <t>Herrmann T.; Pfeiffer S.</t>
  </si>
  <si>
    <t>Keeping the organization in the loop: a socio-technical extension of human-centered artificial intelligence</t>
  </si>
  <si>
    <t>10.1007/s00146-022-01391-5</t>
  </si>
  <si>
    <t>https://www.scopus.com/pages/publications/85124744330?origin=resultslist</t>
  </si>
  <si>
    <t>2-s2.0-85124744330</t>
  </si>
  <si>
    <t>McKendrick R.; Parasuraman R.; Murtza R.; Formwalt A.; Baccus W.; Paczynski M.; Ayaz H.</t>
  </si>
  <si>
    <t>Into the wild: Neuroergonomic differentiation of hand-held and augmented reality wearable displays during outdoor navigation with functional near infrared spectroscopy</t>
  </si>
  <si>
    <t>MAY2016</t>
  </si>
  <si>
    <t>10.3389/fnhum.2016.00216</t>
  </si>
  <si>
    <t>https://www.scopus.com/pages/publications/84973359534?origin=resultslist</t>
  </si>
  <si>
    <t>2-s2.0-84973359534</t>
  </si>
  <si>
    <t>Biondi F.; Alvarez I.; Jeong K.-A.</t>
  </si>
  <si>
    <t>Human–Vehicle Cooperation in Automated Driving: A Multidisciplinary Review and Appraisal</t>
  </si>
  <si>
    <t>10.1080/10447318.2018.1561792</t>
  </si>
  <si>
    <t>https://www.scopus.com/pages/publications/85060617162?origin=resultslist</t>
  </si>
  <si>
    <t>2-s2.0-85060617162</t>
  </si>
  <si>
    <t>Wiegreffe S.; Hessel J.; Swayamdipta S.; Riedl M.; Choi Y.</t>
  </si>
  <si>
    <t>Reframing Human-AI Collaboration for Generating Free-Text Explanations</t>
  </si>
  <si>
    <t>NAACL 2022 - 2022 Conference of the North American Chapter of the Association for Computational Linguistics: Human Language Technologies, Proceedings of the Conference</t>
  </si>
  <si>
    <t>10.18653/v1/2022.naacl-main.47</t>
  </si>
  <si>
    <t>https://www.scopus.com/pages/publications/85130246833?origin=resultslist</t>
  </si>
  <si>
    <t>2-s2.0-85130246833</t>
  </si>
  <si>
    <t>Balcombe L.</t>
  </si>
  <si>
    <t>AI Chatbots in Digital Mental Health</t>
  </si>
  <si>
    <t>Informatics</t>
  </si>
  <si>
    <t>10.3390/informatics10040082</t>
  </si>
  <si>
    <t>https://www.scopus.com/pages/publications/85178907471?origin=resultslist</t>
  </si>
  <si>
    <t>2-s2.0-85178907471</t>
  </si>
  <si>
    <t>Panigutti C.; Hamon R.; Hupont I.; Fernandez Llorca D.; Fano Yela D.; Junklewitz H.; Scalzo S.; Mazzini G.; Sanchez I.; Soler Garrido J.; Gomez E.</t>
  </si>
  <si>
    <t>The role of explainable AI in the context of the AI Act</t>
  </si>
  <si>
    <t>10.1145/3593013.3594069</t>
  </si>
  <si>
    <t>https://www.scopus.com/pages/publications/85163571235?origin=resultslist</t>
  </si>
  <si>
    <t>2-s2.0-85163571235</t>
  </si>
  <si>
    <t>Kim J.; Kang S.; Bae J.</t>
  </si>
  <si>
    <t>Human likeness and attachment effect on the perceived interactivity of AI speakers</t>
  </si>
  <si>
    <t>10.1016/j.jbusres.2022.02.047</t>
  </si>
  <si>
    <t>https://www.scopus.com/pages/publications/85124835843?origin=resultslist</t>
  </si>
  <si>
    <t>2-s2.0-85124835843</t>
  </si>
  <si>
    <t>Harris-Watson A.M.; Larson L.E.; Lauharatanahirun N.; DeChurch L.A.; Contractor N.S.</t>
  </si>
  <si>
    <t>Social perception in Human-AI teams: Warmth and competence predict receptivity to AI teammates</t>
  </si>
  <si>
    <t>10.1016/j.chb.2023.107765</t>
  </si>
  <si>
    <t>https://www.scopus.com/pages/publications/85152491368?origin=resultslist</t>
  </si>
  <si>
    <t>2-s2.0-85152491368</t>
  </si>
  <si>
    <t>Amoozadeh M.; Daniels D.; Nam D.; Kumar A.; Chen S.; Hilton M.; Srinivasa Ragavan S.; Alipour M.A.</t>
  </si>
  <si>
    <t>Trust in Generative AI among Students: An exploratory study</t>
  </si>
  <si>
    <t>SIGCSE 2024 - Proceedings of the 55th ACM Technical Symposium on Computer Science Education</t>
  </si>
  <si>
    <t>10.1145/3626252.3630842</t>
  </si>
  <si>
    <t>https://www.scopus.com/pages/publications/85189316343?origin=resultslist</t>
  </si>
  <si>
    <t>2-s2.0-85189316343</t>
  </si>
  <si>
    <t>Kong H.; Yin Z.; Chon K.; Yuan Y.; Yu J.</t>
  </si>
  <si>
    <t>How does artificial intelligence (AI) enhance hospitality employee innovation? The roles of exploration, AI trust, and proactive personality</t>
  </si>
  <si>
    <t>Journal of Hospitality Marketing and Management</t>
  </si>
  <si>
    <t>10.1080/19368623.2023.2258116</t>
  </si>
  <si>
    <t>https://www.scopus.com/pages/publications/85172139911?origin=resultslist</t>
  </si>
  <si>
    <t>2-s2.0-85172139911</t>
  </si>
  <si>
    <t>Mehta P.; Jebarajakirthy C.; Maseeh H.I.; Anubha A.; Saha R.; Dhanda K.</t>
  </si>
  <si>
    <t>Artificial intelligence in marketing: A meta-analytic review</t>
  </si>
  <si>
    <t>10.1002/mar.21716</t>
  </si>
  <si>
    <t>https://www.scopus.com/pages/publications/85135529741?origin=resultslist</t>
  </si>
  <si>
    <t>2-s2.0-85135529741</t>
  </si>
  <si>
    <t>Wellawatte G.P.; Seshadri A.; White A.D.</t>
  </si>
  <si>
    <t>Model agnostic generation of counterfactual explanations for molecules</t>
  </si>
  <si>
    <t>Chemical Science</t>
  </si>
  <si>
    <t>10.1039/d1sc05259d</t>
  </si>
  <si>
    <t>https://www.scopus.com/pages/publications/85128047707?origin=resultslist</t>
  </si>
  <si>
    <t>2-s2.0-85128047707</t>
  </si>
  <si>
    <t>Frishammar J.; Essén A.; Bergström F.; Ekman T.</t>
  </si>
  <si>
    <t>Digital health platforms for the elderly? Key adoption and usage barriers and ways to address them</t>
  </si>
  <si>
    <t>10.1016/j.techfore.2023.122319</t>
  </si>
  <si>
    <t>https://www.scopus.com/pages/publications/85146440278?origin=resultslist</t>
  </si>
  <si>
    <t>2-s2.0-85146440278</t>
  </si>
  <si>
    <t>Keding C.; Meissner P.</t>
  </si>
  <si>
    <t>Managerial overreliance on AI-augmented decision-making processes: How the use of AI-based advisory systems shapes choice behavior in R&amp;D investment decisions</t>
  </si>
  <si>
    <t>10.1016/j.techfore.2021.120970</t>
  </si>
  <si>
    <t>https://www.scopus.com/pages/publications/85109067049?origin=resultslist</t>
  </si>
  <si>
    <t>2-s2.0-85109067049</t>
  </si>
  <si>
    <t>Du N.; Yang X.J.; Zhou F.</t>
  </si>
  <si>
    <t>Psychophysiological responses to takeover requests in conditionally automated driving</t>
  </si>
  <si>
    <t>10.1016/j.aap.2020.105804</t>
  </si>
  <si>
    <t>https://www.scopus.com/pages/publications/85094318140?origin=resultslist</t>
  </si>
  <si>
    <t>2-s2.0-85094318140</t>
  </si>
  <si>
    <t>Salem M.; Lakatos G.; Amirabdollahian F.; Dautenhahn K.</t>
  </si>
  <si>
    <t>Would You Trust a (Faulty) Robot?: Effects of Error, Task Type and Personality on Human-Robot Cooperation and Trust</t>
  </si>
  <si>
    <t>2015-March</t>
  </si>
  <si>
    <t>10.1145/2696454.2696497</t>
  </si>
  <si>
    <t>https://www.scopus.com/pages/publications/84943553705?origin=resultslist</t>
  </si>
  <si>
    <t>2-s2.0-84943553705</t>
  </si>
  <si>
    <t>Choi J.K.; Ji Y.G.</t>
  </si>
  <si>
    <t>Investigating the Importance of Trust on Adopting an Autonomous Vehicle</t>
  </si>
  <si>
    <t>10.1080/10447318.2015.1070549</t>
  </si>
  <si>
    <t>https://www.scopus.com/pages/publications/84943368855?origin=resultslist</t>
  </si>
  <si>
    <t>2-s2.0-84943368855</t>
  </si>
  <si>
    <t>Schaefer K.E.</t>
  </si>
  <si>
    <t>Measuring trust in human robot interactions: Development of the “trust perception scale-HRI”</t>
  </si>
  <si>
    <t>Robust Intelligence and Trust in Autonomous Systems</t>
  </si>
  <si>
    <t>10.1007/978-1-4899-7668-0_10</t>
  </si>
  <si>
    <t>https://www.scopus.com/pages/publications/84978352459?origin=resultslist</t>
  </si>
  <si>
    <t>Book chapter</t>
  </si>
  <si>
    <t>2-s2.0-84978352459</t>
  </si>
  <si>
    <t>Situation awareness misconceptions and misunderstandings</t>
  </si>
  <si>
    <t>10.1177/1555343415572631</t>
  </si>
  <si>
    <t>https://www.scopus.com/pages/publications/84924747968?origin=resultslist</t>
  </si>
  <si>
    <t>2-s2.0-84924747968</t>
  </si>
  <si>
    <t>Kulesza T.; Burnett M.; Wong W.-K.; Stumpf S.</t>
  </si>
  <si>
    <t>Principles of Explanatory Debugging to personalize interactive machine learning</t>
  </si>
  <si>
    <t>2015-January</t>
  </si>
  <si>
    <t>10.1145/2678025.2701399</t>
  </si>
  <si>
    <t>https://www.scopus.com/pages/publications/84939637881?origin=resultslist</t>
  </si>
  <si>
    <t>2-s2.0-84939637881</t>
  </si>
  <si>
    <t>Lewis M.; Sycara K.; Walker P.</t>
  </si>
  <si>
    <t>The Role of Trust in Human-Robot Interaction</t>
  </si>
  <si>
    <t>Studies in Systems, Decision and Control</t>
  </si>
  <si>
    <t>10.1007/978-3-319-64816-3_8</t>
  </si>
  <si>
    <t>https://www.scopus.com/pages/publications/85040866760?origin=resultslist</t>
  </si>
  <si>
    <t>2-s2.0-85040866760</t>
  </si>
  <si>
    <t>Malle B.F.; Ullman D.</t>
  </si>
  <si>
    <t>A multidimensional conception and measure of human-robot trust</t>
  </si>
  <si>
    <t>Trust in Human-Robot Interaction</t>
  </si>
  <si>
    <t>10.1016/B978-0-12-819472-0.00001-0</t>
  </si>
  <si>
    <t>https://www.scopus.com/pages/publications/85125982040?origin=resultslist</t>
  </si>
  <si>
    <t>2-s2.0-85125982040</t>
  </si>
  <si>
    <t>Gold C.; Körber M.; Hohenberger C.; Lechner D.; Bengler K.</t>
  </si>
  <si>
    <t>Trust in Automation – Before and After the Experience of Take-over Scenarios in a Highly Automated Vehicle</t>
  </si>
  <si>
    <t>Procedia Manufacturing</t>
  </si>
  <si>
    <t>10.1016/j.promfg.2015.07.847</t>
  </si>
  <si>
    <t>https://www.scopus.com/pages/publications/84978205654?origin=resultslist</t>
  </si>
  <si>
    <t>2-s2.0-84978205654</t>
  </si>
  <si>
    <t>Körber M.</t>
  </si>
  <si>
    <t>Theoretical considerations and development of a questionnaire to measure trust in automation</t>
  </si>
  <si>
    <t>Advances in Intelligent Systems and Computing</t>
  </si>
  <si>
    <t>10.1007/978-3-319-96074-6_2</t>
  </si>
  <si>
    <t>https://www.scopus.com/pages/publications/85051760500?origin=resultslist</t>
  </si>
  <si>
    <t>2-s2.0-85051760500</t>
  </si>
  <si>
    <t>Bussone A.; Stumpf S.; O'Sullivan D.</t>
  </si>
  <si>
    <t>The role of explanations on trust and reliance in clinical decision support systems</t>
  </si>
  <si>
    <t>Proceedings - 2015 IEEE International Conference on Healthcare Informatics, ICHI 2015</t>
  </si>
  <si>
    <t>10.1109/ICHI.2015.26</t>
  </si>
  <si>
    <t>https://www.scopus.com/pages/publications/84966298456?origin=resultslist</t>
  </si>
  <si>
    <t>2-s2.0-84966298456</t>
  </si>
  <si>
    <t>Hoff K.A.; Bashir M.</t>
  </si>
  <si>
    <t>Trust in automation: Integrating empirical evidence on factors that influence trust</t>
  </si>
  <si>
    <t>10.1177/0018720814547570</t>
  </si>
  <si>
    <t>https://www.scopus.com/pages/publications/84928311805?origin=resultslist</t>
  </si>
  <si>
    <t>2-s2.0-84928311805</t>
  </si>
  <si>
    <t>Cho J.-H.; Chan K.; Adali S.</t>
  </si>
  <si>
    <t>A Survey on Trust Modeling</t>
  </si>
  <si>
    <t>10.1145/2815595</t>
  </si>
  <si>
    <t>https://www.scopus.com/pages/publications/84945919302?origin=resultslist</t>
  </si>
  <si>
    <t>2-s2.0-84945919302</t>
  </si>
  <si>
    <t>Matthews G.; Reinerman-Jones L.E.; Barber D.J.; Abich J.</t>
  </si>
  <si>
    <t>The psychometrics of mental workload: Multiple measures are sensitive but divergent</t>
  </si>
  <si>
    <t>10.1177/0018720814539505</t>
  </si>
  <si>
    <t>https://www.scopus.com/pages/publications/84922538237?origin=resultslist</t>
  </si>
  <si>
    <t>2-s2.0-84922538237</t>
  </si>
  <si>
    <t>Lankton N.K.; Harrison Mcknight D.; Tripp J.</t>
  </si>
  <si>
    <t>Technology, humanness, and trust: Rethinking trust in technology</t>
  </si>
  <si>
    <t>Journal of the Association for Information Systems</t>
  </si>
  <si>
    <t>10.17705/1jais.00411</t>
  </si>
  <si>
    <t>https://www.scopus.com/pages/publications/84945279836?origin=resultslist</t>
  </si>
  <si>
    <t>2-s2.0-84945279836</t>
  </si>
  <si>
    <t>Mathews S.M.</t>
  </si>
  <si>
    <t>Explainable Artificial Intelligence Applications in NLP, Biomedical, and Malware Classification: A Literature Review</t>
  </si>
  <si>
    <t>10.1007/978-3-030-22868-2_90</t>
  </si>
  <si>
    <t>https://www.scopus.com/pages/publications/85069530134?origin=resultslist</t>
  </si>
  <si>
    <t>2-s2.0-85069530134</t>
  </si>
  <si>
    <t>Puiutta E.; Veith E.M.S.P.</t>
  </si>
  <si>
    <t>Explainable Reinforcement Learning: A Survey</t>
  </si>
  <si>
    <t>Lecture Notes in Computer Science (including subseries Lecture Notes in Artificial Intelligence and Lecture Notes in Bioinformatics)</t>
  </si>
  <si>
    <t>12279 LNCS</t>
  </si>
  <si>
    <t>10.1007/978-3-030-57321-8_5</t>
  </si>
  <si>
    <t>https://www.scopus.com/pages/publications/85090173628?origin=resultslist</t>
  </si>
  <si>
    <t>2-s2.0-85090173628</t>
  </si>
  <si>
    <t>Beggiato M.; Pereira M.; Petzoldt T.; Krems J.</t>
  </si>
  <si>
    <t>Learning and development of trust, acceptance and the mental model of ACC. A longitudinal on-road study</t>
  </si>
  <si>
    <t>10.1016/j.trf.2015.10.005</t>
  </si>
  <si>
    <t>https://www.scopus.com/pages/publications/84945896560?origin=resultslist</t>
  </si>
  <si>
    <t>2-s2.0-84945896560</t>
  </si>
  <si>
    <t>Wickens C.D.; Clegg B.A.; Vieane A.Z.; Sebok A.L.</t>
  </si>
  <si>
    <t>Complacency and Automation Bias in the Use of Imperfect Automation</t>
  </si>
  <si>
    <t>10.1177/0018720815581940</t>
  </si>
  <si>
    <t>https://www.scopus.com/pages/publications/84937866936?origin=resultslist</t>
  </si>
  <si>
    <t>2-s2.0-84937866936</t>
  </si>
  <si>
    <t>Xu A.; Dudek G.</t>
  </si>
  <si>
    <t>OPTIMo: Online Probabilistic Trust Inference Model for Asymmetric Human-Robot Collaborations</t>
  </si>
  <si>
    <t>10.1145/2696454.2696492</t>
  </si>
  <si>
    <t>https://www.scopus.com/pages/publications/84943522688?origin=resultslist</t>
  </si>
  <si>
    <t>2-s2.0-84943522688</t>
  </si>
  <si>
    <t>Longo L.; Goebel R.; Lecue F.; Kieseberg P.; Holzinger A.</t>
  </si>
  <si>
    <t>Explainable Artificial Intelligence: Concepts, Applications, Research Challenges and Visions</t>
  </si>
  <si>
    <t>10.1007/978-3-030-57321-8_1</t>
  </si>
  <si>
    <t>https://www.scopus.com/pages/publications/85090170198?origin=resultslist</t>
  </si>
  <si>
    <t>2-s2.0-85090170198</t>
  </si>
  <si>
    <t>Lee J.-G.; Kim K.J.; Lee S.; Shin D.-H.</t>
  </si>
  <si>
    <t>Can Autonomous Vehicles Be Safe and Trustworthy? Effects of Appearance and Autonomy of Unmanned Driving Systems</t>
  </si>
  <si>
    <t>10.1080/10447318.2015.1070547</t>
  </si>
  <si>
    <t>https://www.scopus.com/pages/publications/84943386354?origin=resultslist</t>
  </si>
  <si>
    <t>2-s2.0-84943386354</t>
  </si>
  <si>
    <t>Naujoks F.; Befelein D.; Wiedemann K.; Neukum A.</t>
  </si>
  <si>
    <t>A review of non-driving-related tasks used in studies on automated driving</t>
  </si>
  <si>
    <t>10.1007/978-3-319-60441-1_52</t>
  </si>
  <si>
    <t>https://www.scopus.com/pages/publications/85022328081?origin=resultslist</t>
  </si>
  <si>
    <t>2-s2.0-85022328081</t>
  </si>
  <si>
    <t>Jung M.F.; Sirkin D.; Gür T.M.; Steinert M.</t>
  </si>
  <si>
    <t>Displayed uncertainty improves driving experience and behavior: The case of range anxiety in an electric car</t>
  </si>
  <si>
    <t>2015-April</t>
  </si>
  <si>
    <t>10.1145/2702123.2702479</t>
  </si>
  <si>
    <t>https://www.scopus.com/pages/publications/84951054847?origin=resultslist</t>
  </si>
  <si>
    <t>2-s2.0-84951054847</t>
  </si>
  <si>
    <t>Situation Awareness</t>
  </si>
  <si>
    <t>Handbook of Human Factors and Ergonomics</t>
  </si>
  <si>
    <t>10.1002/9781119636113.ch17</t>
  </si>
  <si>
    <t>https://www.scopus.com/pages/publications/85148144773?origin=resultslist</t>
  </si>
  <si>
    <t>2-s2.0-85148144773</t>
  </si>
  <si>
    <t>David M.; Sigrid K.; Frayret J.-M.; Gilles P.; Nicolas G.</t>
  </si>
  <si>
    <t>A review and taxonomy of interactive optimization methods in operations research</t>
  </si>
  <si>
    <t>10.1145/2808234</t>
  </si>
  <si>
    <t>https://www.scopus.com/pages/publications/84966783571?origin=resultslist</t>
  </si>
  <si>
    <t>2-s2.0-84966783571</t>
  </si>
  <si>
    <t>Hemmer P.; Schemmer M.; Vössing M.; Kühl N.</t>
  </si>
  <si>
    <t>Human-AI Complementarity in Hybrid Intelligence Systems: A Structured Literature Review</t>
  </si>
  <si>
    <t>Pacific Asia Conference on Information Systems</t>
  </si>
  <si>
    <t>https://www.scopus.com/pages/publications/105029240368?origin=resultslist</t>
  </si>
  <si>
    <t>2-s2.0-105029240368</t>
  </si>
  <si>
    <t>Merritt S.M.; Unnerstall J.L.; Lee D.; Huber K.</t>
  </si>
  <si>
    <t>Measuring Individual Differences in the Perfect Automation Schema</t>
  </si>
  <si>
    <t>10.1177/0018720815581247</t>
  </si>
  <si>
    <t>https://www.scopus.com/pages/publications/84937933060?origin=resultslist</t>
  </si>
  <si>
    <t>2-s2.0-84937933060</t>
  </si>
  <si>
    <t>Timing is key for robot trust repair</t>
  </si>
  <si>
    <t>9388 LNCS</t>
  </si>
  <si>
    <t>10.1007/978-3-319-25554-5_57</t>
  </si>
  <si>
    <t>https://www.scopus.com/pages/publications/84983651728?origin=resultslist</t>
  </si>
  <si>
    <t>2-s2.0-84983651728</t>
  </si>
  <si>
    <t xml:space="preserve">Ribeiro M.T.; Singh S.; Guestrin C.
</t>
  </si>
  <si>
    <t>"Why should i trust you?" Explaining the predictions of any classifier</t>
  </si>
  <si>
    <t>Proceedings of the ACM SIGKDD International Conference on Knowledge Discovery and Data Mining</t>
  </si>
  <si>
    <t>13-17-August-2016</t>
  </si>
  <si>
    <t>10.1145/2939672.2939778</t>
  </si>
  <si>
    <t>https://www.scopus.com/pages/publications/84984985889?origin=resultslist</t>
  </si>
  <si>
    <t>2-s2.0-84984985889</t>
  </si>
  <si>
    <t>Reference</t>
  </si>
  <si>
    <t>Type</t>
  </si>
  <si>
    <t>Title Screening</t>
  </si>
  <si>
    <t>Abstract Screening</t>
  </si>
  <si>
    <t>[Autofilled]  DUPLICATE EID</t>
  </si>
  <si>
    <t>[Autofilled] DUPLICATE TITLE</t>
  </si>
  <si>
    <t>N/A</t>
  </si>
  <si>
    <t>Yes</t>
  </si>
  <si>
    <t>No</t>
  </si>
  <si>
    <t>nazar_hci_xai_healthcare</t>
  </si>
  <si>
    <t>Theoretical</t>
  </si>
  <si>
    <t>young_patient_systematic_review</t>
  </si>
  <si>
    <t>Tong_artificial_intelligence_feedback</t>
  </si>
  <si>
    <t>zhang_automated_vehicle_acceptance</t>
  </si>
  <si>
    <t>Empirical</t>
  </si>
  <si>
    <t>tussyadiah_do_travelers_trust</t>
  </si>
  <si>
    <t>Practical</t>
  </si>
  <si>
    <t>choudhury_asan_2020_trust_clinicians</t>
  </si>
  <si>
    <t>carsten_hmi_automated_cars</t>
  </si>
  <si>
    <t>vilone_longo_2021</t>
  </si>
  <si>
    <t>hayes2017improving</t>
  </si>
  <si>
    <t>chiou_trusting_automation</t>
  </si>
  <si>
    <t>john_measurement_of_trust</t>
  </si>
  <si>
    <t>bach_systematic_literature_review</t>
  </si>
  <si>
    <t>glickson_2020_review_of_empirical_research</t>
  </si>
  <si>
    <t>jacovi_2021_formalizing_trust_ai</t>
  </si>
  <si>
    <t>chi_formative_scale</t>
  </si>
  <si>
    <t>de_visser_longitudinal_trust</t>
  </si>
  <si>
    <t>Buçinca_Proxy_tasks</t>
  </si>
  <si>
    <t>habbal2024artificial</t>
  </si>
  <si>
    <t>choudhury_chat_gpt</t>
  </si>
  <si>
    <t>aoki_chatbot_experimental</t>
  </si>
  <si>
    <t>kaplan2021trust</t>
  </si>
  <si>
    <t>larson_LeadingTeamsDigitalAge</t>
  </si>
  <si>
    <t>Wang_yin_2021</t>
  </si>
  <si>
    <t>empirical</t>
  </si>
  <si>
    <t>What_factors_contribute_to_the_acceptance_of_artificial_intelligence</t>
  </si>
  <si>
    <t>vaithilingam_zhang_glassman_2022</t>
  </si>
  <si>
    <t>Rheuetal.2020.SystematicReviewTrustBuildingFactors</t>
  </si>
  <si>
    <t>schepman_general_attitude</t>
  </si>
  <si>
    <t>banh2023generative</t>
  </si>
  <si>
    <t>computers_in_human_behaviors</t>
  </si>
  <si>
    <t>Aldoseri_et_al_2023</t>
  </si>
  <si>
    <t>wang_2019_artificial_intelligence_future_humanity</t>
  </si>
  <si>
    <t>penmetsa_2019_perceptions_autonomous_vehicles</t>
  </si>
  <si>
    <t>wang2019artificial</t>
  </si>
  <si>
    <t>Trust_calibratiotrust_calibration_within_a_human-robot_team</t>
  </si>
  <si>
    <t>graaf_malle_2017</t>
  </si>
  <si>
    <t>haeuslschmid_SupportingTrustAutonomousDriving</t>
  </si>
  <si>
    <t>no</t>
  </si>
  <si>
    <t>afroogh_trust_in_ai</t>
  </si>
  <si>
    <t>Chong_2022_Human</t>
  </si>
  <si>
    <t>Hortensius_2018_emotions</t>
  </si>
  <si>
    <t>okamura_yamada_2020</t>
  </si>
  <si>
    <t>vereschak2021evaluate</t>
  </si>
  <si>
    <t>Bingjie_2021</t>
  </si>
  <si>
    <t>SangseokYou_CathyLiuYang_Xitong_2022</t>
  </si>
  <si>
    <t>naiseh_2023_class</t>
  </si>
  <si>
    <t>zhang_et_al_2023</t>
  </si>
  <si>
    <t>yang_wibowo_2022</t>
  </si>
  <si>
    <t>Haiyan_Kong_ZihanYin_KayeChon_YueYuan_JinhanYu_2023</t>
  </si>
  <si>
    <t>arlasan_artificial_intelligence</t>
  </si>
  <si>
    <t>Factor</t>
  </si>
  <si>
    <t>Layer</t>
  </si>
  <si>
    <t>Subdivision</t>
  </si>
  <si>
    <t>Interpretation</t>
  </si>
  <si>
    <t>[Autofilled] 
Valid Reference?</t>
  </si>
  <si>
    <t>Warranted Trust (Calibration)</t>
  </si>
  <si>
    <t>Adaptive Trust Dynamics</t>
  </si>
  <si>
    <t>Calibration</t>
  </si>
  <si>
    <t>Alignment between perceived and actual trustworthiness</t>
  </si>
  <si>
    <t>Understanding system capabilities for correct reliance</t>
  </si>
  <si>
    <t>Feedback loop</t>
  </si>
  <si>
    <t>Feedback</t>
  </si>
  <si>
    <t>Outcomes influence future trust</t>
  </si>
  <si>
    <t>Continuous learning</t>
  </si>
  <si>
    <t>Learning</t>
  </si>
  <si>
    <t>System adapts over time</t>
  </si>
  <si>
    <t>Evolution</t>
  </si>
  <si>
    <t>System evolves and improves performance</t>
  </si>
  <si>
    <t>Asymmetric Reliability Impact</t>
  </si>
  <si>
    <t>Asymmetry</t>
  </si>
  <si>
    <t>Failures reduce trust more than success increases it</t>
  </si>
  <si>
    <t>Static vs. Dynamic Trust</t>
  </si>
  <si>
    <t>Temporal Evolution</t>
  </si>
  <si>
    <t>Trust changes over time through interaction</t>
  </si>
  <si>
    <t>Task Characteristics</t>
  </si>
  <si>
    <t>Context</t>
  </si>
  <si>
    <t>Task</t>
  </si>
  <si>
    <t>Trust varies depending on task type</t>
  </si>
  <si>
    <t>Vulnerability / Risk</t>
  </si>
  <si>
    <t>Risk</t>
  </si>
  <si>
    <t>Trust involves exposure to potential failure</t>
  </si>
  <si>
    <t>Human in the loop</t>
  </si>
  <si>
    <t>Environment</t>
  </si>
  <si>
    <t>Presence of human oversight</t>
  </si>
  <si>
    <t>Facilitating conditions</t>
  </si>
  <si>
    <t>Availability of supporting resources</t>
  </si>
  <si>
    <t>Mismatch between system and user readiness</t>
  </si>
  <si>
    <t>Threat to Professional Identity</t>
  </si>
  <si>
    <t>Employees fear losing their jobs due to automation potential.</t>
  </si>
  <si>
    <t>Uncertainty Management</t>
  </si>
  <si>
    <t>Trust helps workers manage the uncertainty of relying on imperfect AI suggestions in high-stakes tasks.</t>
  </si>
  <si>
    <t>User Propensity</t>
  </si>
  <si>
    <t>Human Traits</t>
  </si>
  <si>
    <t>Disposition</t>
  </si>
  <si>
    <t>Baseline tendency to trust technology</t>
  </si>
  <si>
    <t>Trusting stance</t>
  </si>
  <si>
    <t>General belief that technology leads to positive outcomes</t>
  </si>
  <si>
    <t>Technophobia</t>
  </si>
  <si>
    <t>Fear or resistance toward AI</t>
  </si>
  <si>
    <t>User Expertise</t>
  </si>
  <si>
    <t>Experience</t>
  </si>
  <si>
    <t>Prior knowledge and experience with system</t>
  </si>
  <si>
    <t>Familiarity</t>
  </si>
  <si>
    <t>Experience reduces uncertainty and increases trust</t>
  </si>
  <si>
    <t>First Hand Knowledge</t>
  </si>
  <si>
    <t>Technical knowledge before interaction</t>
  </si>
  <si>
    <t>Objective Metrics</t>
  </si>
  <si>
    <t>Technical Behavior</t>
  </si>
  <si>
    <t>Correctness</t>
  </si>
  <si>
    <t>Performance</t>
  </si>
  <si>
    <t>Responsivity</t>
  </si>
  <si>
    <t>Adaptation to environment and user cues</t>
  </si>
  <si>
    <t>Privacy</t>
  </si>
  <si>
    <t>Governance &amp; Ethics</t>
  </si>
  <si>
    <t>Protection of personal and sensitive data</t>
  </si>
  <si>
    <t>Trust through Governance</t>
  </si>
  <si>
    <t>Institutional mechanisms ensuring reliability</t>
  </si>
  <si>
    <t>Goal Alignment</t>
  </si>
  <si>
    <t>Subjective Perception</t>
  </si>
  <si>
    <t>Interpretability</t>
  </si>
  <si>
    <t>Perceived alignment between the goal of the trustoor and trustee.</t>
  </si>
  <si>
    <t>Transparency</t>
  </si>
  <si>
    <t>Perceived visibility of system logic</t>
  </si>
  <si>
    <t>Explainability</t>
  </si>
  <si>
    <t>Ability of system to explain decisions</t>
  </si>
  <si>
    <t>Graaf_Malle_2017</t>
  </si>
  <si>
    <t>Understandability</t>
  </si>
  <si>
    <t>Clarity of explanations from user perspective</t>
  </si>
  <si>
    <t>Vaithilingam_Zhang_Glassman_2022</t>
  </si>
  <si>
    <t>Perceived usefulness (PU)</t>
  </si>
  <si>
    <t>Perceived Performance</t>
  </si>
  <si>
    <t>Belief system improves job performance</t>
  </si>
  <si>
    <t>Perceived ease of use (PEOU)</t>
  </si>
  <si>
    <t>Perceived effort required to use system</t>
  </si>
  <si>
    <t>Confidence</t>
  </si>
  <si>
    <t>User confidence in system outputs</t>
  </si>
  <si>
    <t>Anthropomorphism</t>
  </si>
  <si>
    <t>Social Perception</t>
  </si>
  <si>
    <t>Perception of human-like characteristics</t>
  </si>
  <si>
    <t>Agent Personality</t>
  </si>
  <si>
    <t>Perceived personality traits</t>
  </si>
  <si>
    <t>Benevolence</t>
  </si>
  <si>
    <t>Perceived goodwill of the system</t>
  </si>
  <si>
    <t>Social Bias</t>
  </si>
  <si>
    <t>Perceived social biases of the system.</t>
  </si>
  <si>
    <t>Relatability</t>
  </si>
  <si>
    <t>User emotional connection with system</t>
  </si>
  <si>
    <t>Perceived credibility</t>
  </si>
  <si>
    <t>Perceived expertise and honesty</t>
  </si>
  <si>
    <t>Relationship Equity</t>
  </si>
  <si>
    <t>is an emotional resource that predicts the degree of goodwill between two actors</t>
  </si>
  <si>
    <t>General tendency of individuals to trust others and technological systems</t>
  </si>
  <si>
    <t>Level of user knowledge or familiarity with technology influencing trust</t>
  </si>
  <si>
    <t>Corporate Distrust</t>
  </si>
  <si>
    <t>Governance Trust Context</t>
  </si>
  <si>
    <t>Degree to which users distrust corporations responsible for AI systems</t>
  </si>
  <si>
    <t>Trust Transfer</t>
  </si>
  <si>
    <t>Transfer Mechanism</t>
  </si>
  <si>
    <t>Process by which trust in humans extends to AI systems they design</t>
  </si>
  <si>
    <t>Awareness that relying on ChatGPT involves potential negative consequences especially in high-stakes contexts</t>
  </si>
  <si>
    <t>Mediation (Trust → Intent → Use)</t>
  </si>
  <si>
    <t>Process where intent to use mediates the effect of trust on actual usage behavior</t>
  </si>
  <si>
    <t>Performance (Technical Competence)</t>
  </si>
  <si>
    <t>Process Transparency</t>
  </si>
  <si>
    <t>Understanding of how the chatbot works and how decisions are generated</t>
  </si>
  <si>
    <t>Intent Framing (Purpose Communication)</t>
  </si>
  <si>
    <t>Effect of communicated benefits (e.g. 24/7 access, uniformity) on trust formation</t>
  </si>
  <si>
    <t>Technical Expertise</t>
  </si>
  <si>
    <t>The worker's level of competence influences his ability to calibrate trust (avoid over-trust).</t>
  </si>
  <si>
    <t>Technological Integrity</t>
  </si>
  <si>
    <t>Data biases and privacy vulnerabilities act as primary technical barriers to establishing system trust.</t>
  </si>
  <si>
    <t>Algorithmic Transparency</t>
  </si>
  <si>
    <t>Algorithmic "black boxes" hinder cognitive trust by reducing system explainability and predictability.</t>
  </si>
  <si>
    <t>Psychological Barrier</t>
  </si>
  <si>
    <t>Fear of job displacement and perceived lack of accountability directly diminish affective trust in AI.</t>
  </si>
  <si>
    <t>Socio-Economic Divide</t>
  </si>
  <si>
    <t>Global wealth inequality and the digital divide foster systemic distrust toward AI-driven institutions.</t>
  </si>
  <si>
    <t>Institutional Governance</t>
  </si>
  <si>
    <t>Regulatory frameworks and ethical codes serve as essential environmental safeguards that facilitate public trust.</t>
  </si>
  <si>
    <t>System Reliability</t>
  </si>
  <si>
    <t>Safety Beliefs</t>
  </si>
  <si>
    <t>Cognitive</t>
  </si>
  <si>
    <t>Pedestrians and cyclists intellectually associate AV adoption with improved road safety and better traffic flow.</t>
  </si>
  <si>
    <t>Interaction Anxiety</t>
  </si>
  <si>
    <t xml:space="preserve">Affective </t>
  </si>
  <si>
    <t>Direct interaction experience with AVs significantly reduces user fear and increases emotional comfort levels.</t>
  </si>
  <si>
    <t>Reliability varies greatly depending on the initial conditions.</t>
  </si>
  <si>
    <t>Trust Calibration Cues</t>
  </si>
  <si>
    <t>Specific cognitive signals used as an active feedback mechanism to push the user to recalibrate their trust</t>
  </si>
  <si>
    <t>Human Propensity to Trust</t>
  </si>
  <si>
    <t>Internal user traits and prior experience with technology serve as a baseline for initial trust before any interaction with the specific AI occurs.</t>
  </si>
  <si>
    <t>AI-Human Teaming Dynamics</t>
  </si>
  <si>
    <t>Trust shifts from interpersonal reliability to system-based reliability when AI is integrated as a functional member of a professional team.</t>
  </si>
  <si>
    <t>Perceived Empathy</t>
  </si>
  <si>
    <t>Humans accurately recognize emotions in artificial agents through body movements
 and postures alone</t>
  </si>
  <si>
    <t>Domain Expertise</t>
  </si>
  <si>
    <t>A worker's domain expertise determines how effectively AI explanations can help them calibrate trust.</t>
  </si>
  <si>
    <t>Proactive Personality</t>
  </si>
  <si>
    <t>A worker's proactive personality acts as a key moderator that, alongside trust in AI, allows them to leverage AI-supported autonomy into innovative performance</t>
  </si>
  <si>
    <t>Readiness Mismatch</t>
  </si>
  <si>
    <t>Ability of the chatbot to provide correct and useful answers to citizen enquiries</t>
  </si>
  <si>
    <t>Visual verification of the system's environmental perception.</t>
  </si>
  <si>
    <t>Perceived ability of the AI to understand human emotional and contextual nuances.</t>
  </si>
  <si>
    <t xml:space="preserve"> </t>
  </si>
  <si>
    <t>Total Papers</t>
  </si>
  <si>
    <t>Count</t>
  </si>
  <si>
    <t>Perc</t>
  </si>
  <si>
    <t>TITLE</t>
  </si>
  <si>
    <t>PASS</t>
  </si>
  <si>
    <t>FAIL</t>
  </si>
  <si>
    <t>Checksum</t>
  </si>
  <si>
    <t>Total selected Empirical</t>
  </si>
  <si>
    <t>Total selected Theoretical</t>
  </si>
  <si>
    <t>Total selected Practical</t>
  </si>
  <si>
    <t>"trust in artificial intelligence" OR "trust in automation" OR "trust calibration" AND ( LIMIT-TO ( DOCTYPE , "ar" ) OR LIMIT-TO ( DOCTYPE , "cp" ) OR LIMIT-TO ( DOCTYPE , "re" ) OR LIMIT-TO ( DOCTYPE , "ch" ) OR LIMIT-TO ( DOCTYPE , "cr" ) OR LIMIT-TO ( DOCTYPE , "sh" ) ) AND ( LIMIT-TO ( LANGUAGE , "English" ) ) AND PUBYEAR &gt; 2015 AND PUBYEAR &lt; 2026</t>
  </si>
  <si>
    <t>Emotional Accuracy</t>
  </si>
  <si>
    <t>Objective correctness of the generated output.</t>
  </si>
  <si>
    <t>ABSTRACT (Absolute)</t>
  </si>
  <si>
    <t>ABSTRACT (Relative)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</si>
</sst>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&quot;Aptos Narrow&quot;"/>
    </font>
    <font>
      <u/>
      <sz val="11"/>
      <color rgb="FF000000"/>
      <name val="&quot;Aptos Narrow&quot;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16" fontId="2" fillId="0" borderId="0" xfId="0" applyNumberFormat="1" applyFont="1"/>
    <xf numFmtId="0" fontId="3" fillId="0" borderId="0" xfId="0" applyFont="1"/>
    <xf numFmtId="0" fontId="2" fillId="0" borderId="0" xfId="0" quotePrefix="1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4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10" fontId="2" fillId="0" borderId="10" xfId="0" applyNumberFormat="1" applyFont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10" fontId="2" fillId="0" borderId="13" xfId="0" applyNumberFormat="1" applyFont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5" fillId="0" borderId="0" xfId="0" applyFont="1"/>
    <xf numFmtId="0" fontId="0" fillId="0" borderId="0" xfId="0"/>
    <xf numFmtId="0" fontId="2" fillId="4" borderId="3" xfId="0" applyFont="1" applyFill="1" applyBorder="1" applyAlignment="1">
      <alignment horizontal="center"/>
    </xf>
    <xf numFmtId="0" fontId="12" fillId="0" borderId="4" xfId="0" applyFont="1" applyBorder="1"/>
    <xf numFmtId="0" fontId="2" fillId="0" borderId="3" xfId="0" applyFont="1" applyBorder="1" applyAlignment="1">
      <alignment horizontal="center"/>
    </xf>
    <xf numFmtId="0" fontId="3" fillId="5" borderId="7" xfId="0" applyFont="1" applyFill="1" applyBorder="1" applyAlignment="1">
      <alignment horizontal="center" vertical="center"/>
    </xf>
    <xf numFmtId="0" fontId="12" fillId="0" borderId="11" xfId="0" applyFont="1" applyBorder="1"/>
    <xf numFmtId="0" fontId="12" fillId="0" borderId="14" xfId="0" applyFont="1" applyBorder="1"/>
    <xf numFmtId="0" fontId="2" fillId="0" borderId="16" xfId="0" applyFont="1" applyBorder="1" applyAlignment="1">
      <alignment horizontal="center"/>
    </xf>
    <xf numFmtId="0" fontId="12" fillId="0" borderId="17" xfId="0" applyFont="1" applyBorder="1"/>
    <xf numFmtId="0" fontId="3" fillId="5" borderId="7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pus.com/pages/publications/84984985889?origin=results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9"/>
  <sheetViews>
    <sheetView workbookViewId="0"/>
  </sheetViews>
  <sheetFormatPr defaultColWidth="14.42578125" defaultRowHeight="15" customHeight="1"/>
  <cols>
    <col min="1" max="1" width="40.5703125" customWidth="1"/>
    <col min="2" max="2" width="76.28515625" customWidth="1"/>
    <col min="3" max="16" width="8.7109375" customWidth="1"/>
    <col min="17" max="17" width="22.7109375" customWidth="1"/>
    <col min="18" max="18" width="24.5703125" customWidth="1"/>
    <col min="19" max="19" width="20.7109375" customWidth="1"/>
    <col min="20" max="26" width="8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>
        <v>2021</v>
      </c>
      <c r="D2" s="1" t="s">
        <v>21</v>
      </c>
      <c r="E2" s="1">
        <v>9</v>
      </c>
      <c r="G2" s="1">
        <v>9321372</v>
      </c>
      <c r="H2" s="1">
        <v>11974</v>
      </c>
      <c r="I2" s="1">
        <v>12001</v>
      </c>
      <c r="J2" s="1">
        <v>340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b">
        <f>COUNTIF(  Papers!G:G, RAW_DATA!Q2 ) = 0</f>
        <v>0</v>
      </c>
      <c r="S2" s="1" t="b">
        <f t="shared" ref="S2:S256" si="0">(COUNTIF(B:B, B2) &gt; 1 )</f>
        <v>0</v>
      </c>
    </row>
    <row r="3" spans="1:19">
      <c r="A3" s="1" t="s">
        <v>29</v>
      </c>
      <c r="B3" s="1" t="s">
        <v>30</v>
      </c>
      <c r="C3" s="1">
        <v>2021</v>
      </c>
      <c r="D3" s="1" t="s">
        <v>21</v>
      </c>
      <c r="E3" s="1">
        <v>9</v>
      </c>
      <c r="H3" s="1">
        <v>153316</v>
      </c>
      <c r="I3" s="1">
        <v>153348</v>
      </c>
      <c r="J3" s="1">
        <v>263</v>
      </c>
      <c r="K3" s="1" t="s">
        <v>31</v>
      </c>
      <c r="L3" s="1" t="s">
        <v>32</v>
      </c>
      <c r="M3" s="1" t="s">
        <v>24</v>
      </c>
      <c r="N3" s="1" t="s">
        <v>25</v>
      </c>
      <c r="O3" s="1" t="s">
        <v>26</v>
      </c>
      <c r="P3" s="1" t="s">
        <v>27</v>
      </c>
      <c r="Q3" s="1" t="s">
        <v>33</v>
      </c>
      <c r="R3" s="1" t="b">
        <f>COUNTIF(  Papers!G:G, RAW_DATA!Q3 ) = 0</f>
        <v>0</v>
      </c>
      <c r="S3" s="1" t="b">
        <f t="shared" si="0"/>
        <v>0</v>
      </c>
    </row>
    <row r="4" spans="1:19">
      <c r="A4" s="1" t="s">
        <v>34</v>
      </c>
      <c r="B4" s="1" t="s">
        <v>35</v>
      </c>
      <c r="C4" s="1">
        <v>2021</v>
      </c>
      <c r="D4" s="1" t="s">
        <v>36</v>
      </c>
      <c r="E4" s="1">
        <v>3</v>
      </c>
      <c r="F4" s="1">
        <v>9</v>
      </c>
      <c r="H4" s="1" t="s">
        <v>37</v>
      </c>
      <c r="I4" s="1" t="s">
        <v>38</v>
      </c>
      <c r="J4" s="1">
        <v>264</v>
      </c>
      <c r="K4" s="1" t="s">
        <v>39</v>
      </c>
      <c r="L4" s="1" t="s">
        <v>40</v>
      </c>
      <c r="M4" s="1" t="s">
        <v>24</v>
      </c>
      <c r="N4" s="1" t="s">
        <v>25</v>
      </c>
      <c r="O4" s="1" t="s">
        <v>41</v>
      </c>
      <c r="P4" s="1" t="s">
        <v>27</v>
      </c>
      <c r="Q4" s="1" t="s">
        <v>42</v>
      </c>
      <c r="R4" s="1" t="b">
        <f>COUNTIF(  Papers!G:G, RAW_DATA!Q4 ) = 0</f>
        <v>0</v>
      </c>
      <c r="S4" s="1" t="b">
        <f t="shared" si="0"/>
        <v>0</v>
      </c>
    </row>
    <row r="5" spans="1:19">
      <c r="A5" s="1" t="s">
        <v>43</v>
      </c>
      <c r="B5" s="1" t="s">
        <v>44</v>
      </c>
      <c r="C5" s="1">
        <v>2024</v>
      </c>
      <c r="D5" s="1" t="s">
        <v>45</v>
      </c>
      <c r="E5" s="1">
        <v>7</v>
      </c>
      <c r="G5" s="1">
        <v>100277</v>
      </c>
      <c r="J5" s="1">
        <v>486</v>
      </c>
      <c r="K5" s="1" t="s">
        <v>46</v>
      </c>
      <c r="L5" s="1" t="s">
        <v>47</v>
      </c>
      <c r="M5" s="1" t="s">
        <v>24</v>
      </c>
      <c r="N5" s="1" t="s">
        <v>25</v>
      </c>
      <c r="O5" s="1" t="s">
        <v>26</v>
      </c>
      <c r="P5" s="1" t="s">
        <v>27</v>
      </c>
      <c r="Q5" s="1" t="s">
        <v>48</v>
      </c>
      <c r="R5" s="1" t="b">
        <f>COUNTIF(  Papers!G:G, RAW_DATA!Q5 ) = 0</f>
        <v>0</v>
      </c>
      <c r="S5" s="1" t="b">
        <f t="shared" si="0"/>
        <v>0</v>
      </c>
    </row>
    <row r="6" spans="1:19">
      <c r="A6" s="1" t="s">
        <v>49</v>
      </c>
      <c r="B6" s="1" t="s">
        <v>50</v>
      </c>
      <c r="C6" s="1">
        <v>2021</v>
      </c>
      <c r="D6" s="1" t="s">
        <v>51</v>
      </c>
      <c r="E6" s="1">
        <v>42</v>
      </c>
      <c r="F6" s="1">
        <v>9</v>
      </c>
      <c r="H6" s="1">
        <v>1600</v>
      </c>
      <c r="I6" s="1">
        <v>1631</v>
      </c>
      <c r="J6" s="1">
        <v>371</v>
      </c>
      <c r="K6" s="1" t="s">
        <v>52</v>
      </c>
      <c r="L6" s="1" t="s">
        <v>53</v>
      </c>
      <c r="M6" s="1" t="s">
        <v>54</v>
      </c>
      <c r="N6" s="1" t="s">
        <v>25</v>
      </c>
      <c r="O6" s="1" t="s">
        <v>55</v>
      </c>
      <c r="P6" s="1" t="s">
        <v>27</v>
      </c>
      <c r="Q6" s="1" t="s">
        <v>56</v>
      </c>
      <c r="R6" s="1" t="b">
        <f>COUNTIF(  Papers!G:G, RAW_DATA!Q6 ) = 0</f>
        <v>0</v>
      </c>
      <c r="S6" s="1" t="b">
        <f t="shared" si="0"/>
        <v>0</v>
      </c>
    </row>
    <row r="7" spans="1:19">
      <c r="A7" s="1" t="s">
        <v>57</v>
      </c>
      <c r="B7" s="1" t="s">
        <v>58</v>
      </c>
      <c r="C7" s="1">
        <v>2020</v>
      </c>
      <c r="D7" s="1" t="s">
        <v>59</v>
      </c>
      <c r="E7" s="1">
        <v>112</v>
      </c>
      <c r="H7" s="1">
        <v>220</v>
      </c>
      <c r="I7" s="1">
        <v>233</v>
      </c>
      <c r="J7" s="1">
        <v>398</v>
      </c>
      <c r="K7" s="1" t="s">
        <v>60</v>
      </c>
      <c r="L7" s="1" t="s">
        <v>61</v>
      </c>
      <c r="M7" s="1" t="s">
        <v>54</v>
      </c>
      <c r="N7" s="1" t="s">
        <v>25</v>
      </c>
      <c r="P7" s="1" t="s">
        <v>27</v>
      </c>
      <c r="Q7" s="1" t="s">
        <v>62</v>
      </c>
      <c r="R7" s="1" t="b">
        <f>COUNTIF(  Papers!G:G, RAW_DATA!Q7 ) = 0</f>
        <v>0</v>
      </c>
      <c r="S7" s="1" t="b">
        <f t="shared" si="0"/>
        <v>0</v>
      </c>
    </row>
    <row r="8" spans="1:19">
      <c r="A8" s="1" t="s">
        <v>63</v>
      </c>
      <c r="B8" s="1" t="s">
        <v>64</v>
      </c>
      <c r="C8" s="1">
        <v>2020</v>
      </c>
      <c r="D8" s="1" t="s">
        <v>65</v>
      </c>
      <c r="E8" s="1">
        <v>81</v>
      </c>
      <c r="G8" s="1">
        <v>102886</v>
      </c>
      <c r="J8" s="1">
        <v>280</v>
      </c>
      <c r="K8" s="1" t="s">
        <v>66</v>
      </c>
      <c r="L8" s="1" t="s">
        <v>67</v>
      </c>
      <c r="M8" s="1" t="s">
        <v>54</v>
      </c>
      <c r="N8" s="1" t="s">
        <v>25</v>
      </c>
      <c r="P8" s="1" t="s">
        <v>27</v>
      </c>
      <c r="Q8" s="1" t="s">
        <v>68</v>
      </c>
      <c r="R8" s="1" t="b">
        <f>COUNTIF(  Papers!G:G, RAW_DATA!Q8 ) = 0</f>
        <v>0</v>
      </c>
      <c r="S8" s="1" t="b">
        <f t="shared" si="0"/>
        <v>0</v>
      </c>
    </row>
    <row r="9" spans="1:19">
      <c r="A9" s="1" t="s">
        <v>69</v>
      </c>
      <c r="B9" s="1" t="s">
        <v>70</v>
      </c>
      <c r="C9" s="1">
        <v>2022</v>
      </c>
      <c r="D9" s="1" t="s">
        <v>71</v>
      </c>
      <c r="E9" s="1">
        <v>16</v>
      </c>
      <c r="H9" s="1">
        <v>1</v>
      </c>
      <c r="I9" s="1">
        <v>85</v>
      </c>
      <c r="J9" s="1">
        <v>684</v>
      </c>
      <c r="K9" s="1" t="s">
        <v>72</v>
      </c>
      <c r="L9" s="1" t="s">
        <v>73</v>
      </c>
      <c r="M9" s="1" t="s">
        <v>54</v>
      </c>
      <c r="N9" s="1" t="s">
        <v>25</v>
      </c>
      <c r="O9" s="1" t="s">
        <v>41</v>
      </c>
      <c r="P9" s="1" t="s">
        <v>27</v>
      </c>
      <c r="Q9" s="1" t="s">
        <v>74</v>
      </c>
      <c r="R9" s="1" t="b">
        <f>COUNTIF(  Papers!G:G, RAW_DATA!Q9 ) = 0</f>
        <v>0</v>
      </c>
      <c r="S9" s="1" t="b">
        <f t="shared" si="0"/>
        <v>0</v>
      </c>
    </row>
    <row r="10" spans="1:19">
      <c r="A10" s="1" t="s">
        <v>75</v>
      </c>
      <c r="B10" s="1" t="s">
        <v>76</v>
      </c>
      <c r="C10" s="1">
        <v>2020</v>
      </c>
      <c r="D10" s="1" t="s">
        <v>77</v>
      </c>
      <c r="E10" s="1">
        <v>22</v>
      </c>
      <c r="F10" s="1">
        <v>6</v>
      </c>
      <c r="G10" s="1" t="s">
        <v>78</v>
      </c>
      <c r="J10" s="1">
        <v>604</v>
      </c>
      <c r="K10" s="1" t="s">
        <v>79</v>
      </c>
      <c r="L10" s="1" t="s">
        <v>80</v>
      </c>
      <c r="M10" s="1" t="s">
        <v>24</v>
      </c>
      <c r="N10" s="1" t="s">
        <v>25</v>
      </c>
      <c r="O10" s="1" t="s">
        <v>26</v>
      </c>
      <c r="P10" s="1" t="s">
        <v>27</v>
      </c>
      <c r="Q10" s="1" t="s">
        <v>81</v>
      </c>
      <c r="R10" s="1" t="b">
        <f>COUNTIF(  Papers!G:G, RAW_DATA!Q10 ) = 0</f>
        <v>0</v>
      </c>
      <c r="S10" s="1" t="b">
        <f t="shared" si="0"/>
        <v>0</v>
      </c>
    </row>
    <row r="11" spans="1:19">
      <c r="A11" s="1" t="s">
        <v>82</v>
      </c>
      <c r="B11" s="1" t="s">
        <v>83</v>
      </c>
      <c r="C11" s="1">
        <v>2016</v>
      </c>
      <c r="D11" s="1" t="s">
        <v>84</v>
      </c>
      <c r="E11" s="1">
        <v>58</v>
      </c>
      <c r="F11" s="1">
        <v>3</v>
      </c>
      <c r="H11" s="1">
        <v>509</v>
      </c>
      <c r="I11" s="1">
        <v>519</v>
      </c>
      <c r="J11" s="1">
        <v>311</v>
      </c>
      <c r="K11" s="1" t="s">
        <v>85</v>
      </c>
      <c r="L11" s="1" t="s">
        <v>86</v>
      </c>
      <c r="M11" s="1" t="s">
        <v>54</v>
      </c>
      <c r="N11" s="1" t="s">
        <v>25</v>
      </c>
      <c r="P11" s="1" t="s">
        <v>27</v>
      </c>
      <c r="Q11" s="1" t="s">
        <v>87</v>
      </c>
      <c r="R11" s="1" t="b">
        <f>COUNTIF(  Papers!G:G, RAW_DATA!Q11 ) = 0</f>
        <v>0</v>
      </c>
      <c r="S11" s="1" t="b">
        <f t="shared" si="0"/>
        <v>0</v>
      </c>
    </row>
    <row r="12" spans="1:19">
      <c r="A12" s="1" t="s">
        <v>88</v>
      </c>
      <c r="B12" s="1" t="s">
        <v>89</v>
      </c>
      <c r="C12" s="1">
        <v>2018</v>
      </c>
      <c r="D12" s="1" t="s">
        <v>90</v>
      </c>
      <c r="E12" s="1">
        <v>9</v>
      </c>
      <c r="F12" s="1" t="s">
        <v>91</v>
      </c>
      <c r="G12" s="1">
        <v>861</v>
      </c>
      <c r="J12" s="1">
        <v>308</v>
      </c>
      <c r="K12" s="1" t="s">
        <v>92</v>
      </c>
      <c r="L12" s="1" t="s">
        <v>93</v>
      </c>
      <c r="M12" s="1" t="s">
        <v>24</v>
      </c>
      <c r="N12" s="1" t="s">
        <v>25</v>
      </c>
      <c r="O12" s="1" t="s">
        <v>26</v>
      </c>
      <c r="P12" s="1" t="s">
        <v>27</v>
      </c>
      <c r="Q12" s="1" t="s">
        <v>94</v>
      </c>
      <c r="R12" s="1" t="b">
        <f>COUNTIF(  Papers!G:G, RAW_DATA!Q12 ) = 0</f>
        <v>0</v>
      </c>
      <c r="S12" s="1" t="b">
        <f t="shared" si="0"/>
        <v>0</v>
      </c>
    </row>
    <row r="13" spans="1:19">
      <c r="A13" s="1" t="s">
        <v>95</v>
      </c>
      <c r="B13" s="1" t="s">
        <v>96</v>
      </c>
      <c r="C13" s="1">
        <v>2019</v>
      </c>
      <c r="D13" s="1" t="s">
        <v>97</v>
      </c>
      <c r="E13" s="1">
        <v>21</v>
      </c>
      <c r="F13" s="1">
        <v>1</v>
      </c>
      <c r="H13" s="1">
        <v>3</v>
      </c>
      <c r="I13" s="1">
        <v>20</v>
      </c>
      <c r="J13" s="1">
        <v>233</v>
      </c>
      <c r="K13" s="1" t="s">
        <v>98</v>
      </c>
      <c r="L13" s="1" t="s">
        <v>99</v>
      </c>
      <c r="M13" s="1" t="s">
        <v>54</v>
      </c>
      <c r="N13" s="1" t="s">
        <v>25</v>
      </c>
      <c r="O13" s="1" t="s">
        <v>100</v>
      </c>
      <c r="P13" s="1" t="s">
        <v>27</v>
      </c>
      <c r="Q13" s="1" t="s">
        <v>101</v>
      </c>
      <c r="R13" s="1" t="b">
        <f>COUNTIF(  Papers!G:G, RAW_DATA!Q13 ) = 0</f>
        <v>0</v>
      </c>
      <c r="S13" s="1" t="b">
        <f t="shared" si="0"/>
        <v>0</v>
      </c>
    </row>
    <row r="14" spans="1:19">
      <c r="A14" s="1" t="s">
        <v>102</v>
      </c>
      <c r="B14" s="1" t="s">
        <v>103</v>
      </c>
      <c r="C14" s="1">
        <v>2021</v>
      </c>
      <c r="D14" s="1" t="s">
        <v>104</v>
      </c>
      <c r="E14" s="1">
        <v>76</v>
      </c>
      <c r="H14" s="1">
        <v>89</v>
      </c>
      <c r="I14" s="1">
        <v>106</v>
      </c>
      <c r="J14" s="1">
        <v>510</v>
      </c>
      <c r="K14" s="1" t="s">
        <v>105</v>
      </c>
      <c r="L14" s="1" t="s">
        <v>106</v>
      </c>
      <c r="M14" s="1" t="s">
        <v>54</v>
      </c>
      <c r="N14" s="1" t="s">
        <v>25</v>
      </c>
      <c r="O14" s="1" t="s">
        <v>100</v>
      </c>
      <c r="P14" s="1" t="s">
        <v>27</v>
      </c>
      <c r="Q14" s="1" t="s">
        <v>107</v>
      </c>
      <c r="R14" s="1" t="b">
        <f>COUNTIF(  Papers!G:G, RAW_DATA!Q14 ) = 0</f>
        <v>0</v>
      </c>
      <c r="S14" s="1" t="b">
        <f t="shared" si="0"/>
        <v>0</v>
      </c>
    </row>
    <row r="15" spans="1:19">
      <c r="A15" s="1" t="s">
        <v>108</v>
      </c>
      <c r="B15" s="1" t="s">
        <v>109</v>
      </c>
      <c r="C15" s="1">
        <v>2023</v>
      </c>
      <c r="D15" s="1" t="s">
        <v>110</v>
      </c>
      <c r="E15" s="1">
        <v>33</v>
      </c>
      <c r="F15" s="1">
        <v>1</v>
      </c>
      <c r="G15" s="1">
        <v>100857</v>
      </c>
      <c r="J15" s="1">
        <v>384</v>
      </c>
      <c r="K15" s="1" t="s">
        <v>111</v>
      </c>
      <c r="L15" s="1" t="s">
        <v>112</v>
      </c>
      <c r="M15" s="1" t="s">
        <v>54</v>
      </c>
      <c r="N15" s="1" t="s">
        <v>25</v>
      </c>
      <c r="O15" s="1" t="s">
        <v>113</v>
      </c>
      <c r="P15" s="1" t="s">
        <v>27</v>
      </c>
      <c r="Q15" s="1" t="s">
        <v>114</v>
      </c>
      <c r="R15" s="1" t="b">
        <f>COUNTIF(  Papers!G:G, RAW_DATA!Q15 ) = 0</f>
        <v>0</v>
      </c>
      <c r="S15" s="1" t="b">
        <f t="shared" si="0"/>
        <v>0</v>
      </c>
    </row>
    <row r="16" spans="1:19">
      <c r="A16" s="1" t="s">
        <v>115</v>
      </c>
      <c r="B16" s="1" t="s">
        <v>116</v>
      </c>
      <c r="C16" s="1">
        <v>2021</v>
      </c>
      <c r="D16" s="1" t="s">
        <v>117</v>
      </c>
      <c r="E16" s="1">
        <v>296</v>
      </c>
      <c r="G16" s="1">
        <v>103473</v>
      </c>
      <c r="J16" s="1">
        <v>541</v>
      </c>
      <c r="K16" s="1" t="s">
        <v>118</v>
      </c>
      <c r="L16" s="1" t="s">
        <v>119</v>
      </c>
      <c r="M16" s="1" t="s">
        <v>54</v>
      </c>
      <c r="N16" s="1" t="s">
        <v>25</v>
      </c>
      <c r="O16" s="1" t="s">
        <v>120</v>
      </c>
      <c r="P16" s="1" t="s">
        <v>27</v>
      </c>
      <c r="Q16" s="1" t="s">
        <v>121</v>
      </c>
      <c r="R16" s="1" t="b">
        <f>COUNTIF(  Papers!G:G, RAW_DATA!Q16 ) = 0</f>
        <v>0</v>
      </c>
      <c r="S16" s="1" t="b">
        <f t="shared" si="0"/>
        <v>0</v>
      </c>
    </row>
    <row r="17" spans="1:19">
      <c r="A17" s="1" t="s">
        <v>122</v>
      </c>
      <c r="B17" s="1" t="s">
        <v>123</v>
      </c>
      <c r="C17" s="1">
        <v>2021</v>
      </c>
      <c r="D17" s="1" t="s">
        <v>124</v>
      </c>
      <c r="E17" s="1">
        <v>45</v>
      </c>
      <c r="F17" s="1">
        <v>5</v>
      </c>
      <c r="H17" s="1">
        <v>1028</v>
      </c>
      <c r="I17" s="1">
        <v>1053</v>
      </c>
      <c r="J17" s="1">
        <v>397</v>
      </c>
      <c r="K17" s="1" t="s">
        <v>125</v>
      </c>
      <c r="L17" s="1" t="s">
        <v>126</v>
      </c>
      <c r="M17" s="1" t="s">
        <v>54</v>
      </c>
      <c r="N17" s="1" t="s">
        <v>25</v>
      </c>
      <c r="O17" s="1" t="s">
        <v>120</v>
      </c>
      <c r="P17" s="1" t="s">
        <v>27</v>
      </c>
      <c r="Q17" s="1" t="s">
        <v>127</v>
      </c>
      <c r="R17" s="1" t="b">
        <f>COUNTIF(  Papers!G:G, RAW_DATA!Q17 ) = 0</f>
        <v>0</v>
      </c>
      <c r="S17" s="1" t="b">
        <f t="shared" si="0"/>
        <v>0</v>
      </c>
    </row>
    <row r="18" spans="1:19">
      <c r="A18" s="1" t="s">
        <v>128</v>
      </c>
      <c r="B18" s="1" t="s">
        <v>129</v>
      </c>
      <c r="C18" s="1">
        <v>2022</v>
      </c>
      <c r="D18" s="1" t="s">
        <v>130</v>
      </c>
      <c r="E18" s="1">
        <v>144</v>
      </c>
      <c r="H18" s="1">
        <v>31</v>
      </c>
      <c r="I18" s="1">
        <v>49</v>
      </c>
      <c r="J18" s="1">
        <v>365</v>
      </c>
      <c r="K18" s="1" t="s">
        <v>131</v>
      </c>
      <c r="L18" s="1" t="s">
        <v>132</v>
      </c>
      <c r="M18" s="1" t="s">
        <v>54</v>
      </c>
      <c r="N18" s="1" t="s">
        <v>25</v>
      </c>
      <c r="P18" s="1" t="s">
        <v>27</v>
      </c>
      <c r="Q18" s="1" t="s">
        <v>133</v>
      </c>
      <c r="R18" s="1" t="b">
        <f>COUNTIF(  Papers!G:G, RAW_DATA!Q18 ) = 0</f>
        <v>0</v>
      </c>
      <c r="S18" s="1" t="b">
        <f t="shared" si="0"/>
        <v>0</v>
      </c>
    </row>
    <row r="19" spans="1:19">
      <c r="A19" s="1" t="s">
        <v>134</v>
      </c>
      <c r="B19" s="1" t="s">
        <v>135</v>
      </c>
      <c r="C19" s="1">
        <v>2019</v>
      </c>
      <c r="D19" s="1" t="s">
        <v>136</v>
      </c>
      <c r="E19" s="1">
        <v>61</v>
      </c>
      <c r="F19" s="1">
        <v>5</v>
      </c>
      <c r="H19" s="1">
        <v>637</v>
      </c>
      <c r="I19" s="1">
        <v>643</v>
      </c>
      <c r="J19" s="1">
        <v>581</v>
      </c>
      <c r="K19" s="1" t="s">
        <v>137</v>
      </c>
      <c r="L19" s="1" t="s">
        <v>138</v>
      </c>
      <c r="M19" s="1" t="s">
        <v>54</v>
      </c>
      <c r="N19" s="1" t="s">
        <v>25</v>
      </c>
      <c r="O19" s="1" t="s">
        <v>113</v>
      </c>
      <c r="P19" s="1" t="s">
        <v>27</v>
      </c>
      <c r="Q19" s="1" t="s">
        <v>139</v>
      </c>
      <c r="R19" s="1" t="b">
        <f>COUNTIF(  Papers!G:G, RAW_DATA!Q19 ) = 0</f>
        <v>0</v>
      </c>
      <c r="S19" s="1" t="b">
        <f t="shared" si="0"/>
        <v>0</v>
      </c>
    </row>
    <row r="20" spans="1:19">
      <c r="A20" s="1" t="s">
        <v>140</v>
      </c>
      <c r="B20" s="1" t="s">
        <v>141</v>
      </c>
      <c r="C20" s="1">
        <v>2022</v>
      </c>
      <c r="D20" s="1" t="s">
        <v>142</v>
      </c>
      <c r="E20" s="1">
        <v>65</v>
      </c>
      <c r="F20" s="1">
        <v>3</v>
      </c>
      <c r="H20" s="1">
        <v>1019</v>
      </c>
      <c r="I20" s="1">
        <v>1054</v>
      </c>
      <c r="J20" s="1">
        <v>230</v>
      </c>
      <c r="K20" s="1" t="s">
        <v>143</v>
      </c>
      <c r="L20" s="1" t="s">
        <v>144</v>
      </c>
      <c r="M20" s="1" t="s">
        <v>54</v>
      </c>
      <c r="N20" s="1" t="s">
        <v>25</v>
      </c>
      <c r="P20" s="1" t="s">
        <v>27</v>
      </c>
      <c r="Q20" s="1" t="s">
        <v>145</v>
      </c>
      <c r="R20" s="1" t="b">
        <f>COUNTIF(  Papers!G:G, RAW_DATA!Q20 ) = 0</f>
        <v>0</v>
      </c>
      <c r="S20" s="1" t="b">
        <f t="shared" si="0"/>
        <v>0</v>
      </c>
    </row>
    <row r="21" spans="1:19" ht="15.75" customHeight="1">
      <c r="A21" s="1" t="s">
        <v>146</v>
      </c>
      <c r="B21" s="1" t="s">
        <v>147</v>
      </c>
      <c r="C21" s="1">
        <v>2022</v>
      </c>
      <c r="D21" s="1" t="s">
        <v>148</v>
      </c>
      <c r="E21" s="1">
        <v>32</v>
      </c>
      <c r="F21" s="1">
        <v>1</v>
      </c>
      <c r="H21" s="1">
        <v>73</v>
      </c>
      <c r="I21" s="1">
        <v>99</v>
      </c>
      <c r="J21" s="1">
        <v>259</v>
      </c>
      <c r="K21" s="1" t="s">
        <v>149</v>
      </c>
      <c r="L21" s="1" t="s">
        <v>150</v>
      </c>
      <c r="M21" s="1" t="s">
        <v>54</v>
      </c>
      <c r="N21" s="1" t="s">
        <v>25</v>
      </c>
      <c r="O21" s="1" t="s">
        <v>100</v>
      </c>
      <c r="P21" s="1" t="s">
        <v>27</v>
      </c>
      <c r="Q21" s="1" t="s">
        <v>151</v>
      </c>
      <c r="R21" s="1" t="b">
        <f>COUNTIF(  Papers!G:G, RAW_DATA!Q21 ) = 0</f>
        <v>0</v>
      </c>
      <c r="S21" s="1" t="b">
        <f t="shared" si="0"/>
        <v>0</v>
      </c>
    </row>
    <row r="22" spans="1:19" ht="15.75" customHeight="1">
      <c r="A22" s="1" t="s">
        <v>152</v>
      </c>
      <c r="B22" s="1" t="s">
        <v>153</v>
      </c>
      <c r="C22" s="1">
        <v>2022</v>
      </c>
      <c r="D22" s="1" t="s">
        <v>154</v>
      </c>
      <c r="E22" s="1">
        <v>35</v>
      </c>
      <c r="F22" s="1">
        <v>2</v>
      </c>
      <c r="H22" s="1">
        <v>530</v>
      </c>
      <c r="I22" s="1">
        <v>549</v>
      </c>
      <c r="J22" s="1">
        <v>250</v>
      </c>
      <c r="K22" s="1" t="s">
        <v>155</v>
      </c>
      <c r="L22" s="1" t="s">
        <v>156</v>
      </c>
      <c r="M22" s="1" t="s">
        <v>54</v>
      </c>
      <c r="N22" s="1" t="s">
        <v>25</v>
      </c>
      <c r="P22" s="1" t="s">
        <v>27</v>
      </c>
      <c r="Q22" s="1" t="s">
        <v>157</v>
      </c>
      <c r="R22" s="1" t="b">
        <f>COUNTIF(  Papers!G:G, RAW_DATA!Q22 ) = 0</f>
        <v>0</v>
      </c>
      <c r="S22" s="1" t="b">
        <f t="shared" si="0"/>
        <v>0</v>
      </c>
    </row>
    <row r="23" spans="1:19" ht="15.75" customHeight="1">
      <c r="A23" s="1" t="s">
        <v>158</v>
      </c>
      <c r="B23" s="1" t="s">
        <v>159</v>
      </c>
      <c r="C23" s="1">
        <v>2022</v>
      </c>
      <c r="D23" s="1" t="s">
        <v>110</v>
      </c>
      <c r="E23" s="1">
        <v>32</v>
      </c>
      <c r="F23" s="1">
        <v>3</v>
      </c>
      <c r="G23" s="1">
        <v>100838</v>
      </c>
      <c r="J23" s="1">
        <v>330</v>
      </c>
      <c r="K23" s="1" t="s">
        <v>160</v>
      </c>
      <c r="L23" s="1" t="s">
        <v>161</v>
      </c>
      <c r="M23" s="1" t="s">
        <v>54</v>
      </c>
      <c r="N23" s="1" t="s">
        <v>25</v>
      </c>
      <c r="O23" s="1" t="s">
        <v>120</v>
      </c>
      <c r="P23" s="1" t="s">
        <v>27</v>
      </c>
      <c r="Q23" s="1" t="s">
        <v>162</v>
      </c>
      <c r="R23" s="1" t="b">
        <f>COUNTIF(  Papers!G:G, RAW_DATA!Q23 ) = 0</f>
        <v>0</v>
      </c>
      <c r="S23" s="1" t="b">
        <f t="shared" si="0"/>
        <v>0</v>
      </c>
    </row>
    <row r="24" spans="1:19" ht="15.75" customHeight="1">
      <c r="A24" s="1" t="s">
        <v>163</v>
      </c>
      <c r="B24" s="1" t="s">
        <v>164</v>
      </c>
      <c r="C24" s="1">
        <v>2017</v>
      </c>
      <c r="D24" s="1" t="s">
        <v>165</v>
      </c>
      <c r="E24" s="1" t="s">
        <v>166</v>
      </c>
      <c r="H24" s="1">
        <v>303</v>
      </c>
      <c r="I24" s="1">
        <v>312</v>
      </c>
      <c r="J24" s="1">
        <v>234</v>
      </c>
      <c r="K24" s="1" t="s">
        <v>167</v>
      </c>
      <c r="L24" s="1" t="s">
        <v>168</v>
      </c>
      <c r="M24" s="1" t="s">
        <v>169</v>
      </c>
      <c r="N24" s="1" t="s">
        <v>25</v>
      </c>
      <c r="O24" s="1" t="s">
        <v>113</v>
      </c>
      <c r="P24" s="1" t="s">
        <v>27</v>
      </c>
      <c r="Q24" s="1" t="s">
        <v>170</v>
      </c>
      <c r="R24" s="1" t="b">
        <f>COUNTIF(  Papers!G:G, RAW_DATA!Q24 ) = 0</f>
        <v>0</v>
      </c>
      <c r="S24" s="1" t="b">
        <f t="shared" si="0"/>
        <v>0</v>
      </c>
    </row>
    <row r="25" spans="1:19" ht="15.75" customHeight="1">
      <c r="A25" s="1" t="s">
        <v>171</v>
      </c>
      <c r="B25" s="1" t="s">
        <v>172</v>
      </c>
      <c r="C25" s="1">
        <v>2018</v>
      </c>
      <c r="D25" s="1" t="s">
        <v>173</v>
      </c>
      <c r="E25" s="1">
        <v>8</v>
      </c>
      <c r="F25" s="1">
        <v>2</v>
      </c>
      <c r="G25" s="1">
        <v>8</v>
      </c>
      <c r="J25" s="1">
        <v>292</v>
      </c>
      <c r="K25" s="1" t="s">
        <v>174</v>
      </c>
      <c r="L25" s="1" t="s">
        <v>175</v>
      </c>
      <c r="M25" s="1" t="s">
        <v>24</v>
      </c>
      <c r="N25" s="1" t="s">
        <v>25</v>
      </c>
      <c r="O25" s="1" t="s">
        <v>113</v>
      </c>
      <c r="P25" s="1" t="s">
        <v>27</v>
      </c>
      <c r="Q25" s="1" t="s">
        <v>176</v>
      </c>
      <c r="R25" s="1" t="b">
        <f>COUNTIF(  Papers!G:G, RAW_DATA!Q25 ) = 0</f>
        <v>0</v>
      </c>
      <c r="S25" s="1" t="b">
        <f t="shared" si="0"/>
        <v>0</v>
      </c>
    </row>
    <row r="26" spans="1:19" ht="15.75" customHeight="1">
      <c r="A26" s="1" t="s">
        <v>177</v>
      </c>
      <c r="B26" s="1" t="s">
        <v>178</v>
      </c>
      <c r="C26" s="1">
        <v>2023</v>
      </c>
      <c r="D26" s="1" t="s">
        <v>110</v>
      </c>
      <c r="E26" s="1">
        <v>33</v>
      </c>
      <c r="F26" s="1">
        <v>1</v>
      </c>
      <c r="G26" s="1">
        <v>100899</v>
      </c>
      <c r="J26" s="1">
        <v>719</v>
      </c>
      <c r="K26" s="1" t="s">
        <v>179</v>
      </c>
      <c r="L26" s="1" t="s">
        <v>180</v>
      </c>
      <c r="M26" s="1" t="s">
        <v>54</v>
      </c>
      <c r="N26" s="1" t="s">
        <v>25</v>
      </c>
      <c r="O26" s="1" t="s">
        <v>113</v>
      </c>
      <c r="P26" s="1" t="s">
        <v>27</v>
      </c>
      <c r="Q26" s="1" t="s">
        <v>181</v>
      </c>
      <c r="R26" s="1" t="b">
        <f>COUNTIF(  Papers!G:G, RAW_DATA!Q26 ) = 0</f>
        <v>0</v>
      </c>
      <c r="S26" s="1" t="b">
        <f t="shared" si="0"/>
        <v>0</v>
      </c>
    </row>
    <row r="27" spans="1:19" ht="15.75" customHeight="1">
      <c r="A27" s="1" t="s">
        <v>182</v>
      </c>
      <c r="B27" s="1" t="s">
        <v>183</v>
      </c>
      <c r="C27" s="1">
        <v>2023</v>
      </c>
      <c r="D27" s="1" t="s">
        <v>84</v>
      </c>
      <c r="E27" s="1">
        <v>65</v>
      </c>
      <c r="F27" s="1">
        <v>1</v>
      </c>
      <c r="H27" s="1">
        <v>137</v>
      </c>
      <c r="I27" s="1">
        <v>165</v>
      </c>
      <c r="J27" s="1">
        <v>234</v>
      </c>
      <c r="K27" s="1" t="s">
        <v>184</v>
      </c>
      <c r="L27" s="1" t="s">
        <v>185</v>
      </c>
      <c r="M27" s="1" t="s">
        <v>54</v>
      </c>
      <c r="N27" s="1" t="s">
        <v>25</v>
      </c>
      <c r="P27" s="1" t="s">
        <v>27</v>
      </c>
      <c r="Q27" s="1" t="s">
        <v>186</v>
      </c>
      <c r="R27" s="1" t="b">
        <f>COUNTIF(  Papers!G:G, RAW_DATA!Q27 ) = 0</f>
        <v>0</v>
      </c>
      <c r="S27" s="1" t="b">
        <f t="shared" si="0"/>
        <v>0</v>
      </c>
    </row>
    <row r="28" spans="1:19" ht="15.75" customHeight="1">
      <c r="A28" s="1" t="s">
        <v>187</v>
      </c>
      <c r="B28" s="1" t="s">
        <v>188</v>
      </c>
      <c r="C28" s="1">
        <v>2022</v>
      </c>
      <c r="D28" s="1" t="s">
        <v>189</v>
      </c>
      <c r="E28" s="1">
        <v>127</v>
      </c>
      <c r="G28" s="1">
        <v>107026</v>
      </c>
      <c r="J28" s="1">
        <v>363</v>
      </c>
      <c r="K28" s="1" t="s">
        <v>190</v>
      </c>
      <c r="L28" s="1" t="s">
        <v>191</v>
      </c>
      <c r="M28" s="1" t="s">
        <v>54</v>
      </c>
      <c r="N28" s="1" t="s">
        <v>25</v>
      </c>
      <c r="P28" s="1" t="s">
        <v>27</v>
      </c>
      <c r="Q28" s="1" t="s">
        <v>192</v>
      </c>
      <c r="R28" s="1" t="b">
        <f>COUNTIF(  Papers!G:G, RAW_DATA!Q28 ) = 0</f>
        <v>0</v>
      </c>
      <c r="S28" s="1" t="b">
        <f t="shared" si="0"/>
        <v>0</v>
      </c>
    </row>
    <row r="29" spans="1:19" ht="15.75" customHeight="1">
      <c r="A29" s="1" t="s">
        <v>193</v>
      </c>
      <c r="B29" s="1" t="s">
        <v>194</v>
      </c>
      <c r="C29" s="1">
        <v>2022</v>
      </c>
      <c r="D29" s="1" t="s">
        <v>195</v>
      </c>
      <c r="E29" s="1">
        <v>108</v>
      </c>
      <c r="F29" s="1">
        <v>5</v>
      </c>
      <c r="H29" s="1">
        <v>850</v>
      </c>
      <c r="I29" s="1">
        <v>870</v>
      </c>
      <c r="J29" s="1">
        <v>244</v>
      </c>
      <c r="K29" s="1" t="s">
        <v>196</v>
      </c>
      <c r="L29" s="1" t="s">
        <v>197</v>
      </c>
      <c r="M29" s="1" t="s">
        <v>54</v>
      </c>
      <c r="N29" s="1" t="s">
        <v>25</v>
      </c>
      <c r="P29" s="1" t="s">
        <v>27</v>
      </c>
      <c r="Q29" s="1" t="s">
        <v>198</v>
      </c>
      <c r="R29" s="1" t="b">
        <f>COUNTIF(  Papers!G:G, RAW_DATA!Q29 ) = 0</f>
        <v>0</v>
      </c>
      <c r="S29" s="1" t="b">
        <f t="shared" si="0"/>
        <v>0</v>
      </c>
    </row>
    <row r="30" spans="1:19" ht="15.75" customHeight="1">
      <c r="A30" s="1" t="s">
        <v>199</v>
      </c>
      <c r="B30" s="1" t="s">
        <v>200</v>
      </c>
      <c r="C30" s="1">
        <v>2021</v>
      </c>
      <c r="D30" s="1" t="s">
        <v>90</v>
      </c>
      <c r="E30" s="1">
        <v>12</v>
      </c>
      <c r="G30" s="1">
        <v>604977</v>
      </c>
      <c r="J30" s="1">
        <v>253</v>
      </c>
      <c r="K30" s="1" t="s">
        <v>201</v>
      </c>
      <c r="L30" s="1" t="s">
        <v>202</v>
      </c>
      <c r="M30" s="1" t="s">
        <v>24</v>
      </c>
      <c r="N30" s="1" t="s">
        <v>25</v>
      </c>
      <c r="O30" s="1" t="s">
        <v>26</v>
      </c>
      <c r="P30" s="1" t="s">
        <v>27</v>
      </c>
      <c r="Q30" s="1" t="s">
        <v>203</v>
      </c>
      <c r="R30" s="1" t="b">
        <f>COUNTIF(  Papers!G:G, RAW_DATA!Q30 ) = 0</f>
        <v>0</v>
      </c>
      <c r="S30" s="1" t="b">
        <f t="shared" si="0"/>
        <v>0</v>
      </c>
    </row>
    <row r="31" spans="1:19" ht="15.75" customHeight="1">
      <c r="A31" s="1" t="s">
        <v>204</v>
      </c>
      <c r="B31" s="1" t="s">
        <v>205</v>
      </c>
      <c r="C31" s="1">
        <v>2016</v>
      </c>
      <c r="D31" s="1" t="s">
        <v>206</v>
      </c>
      <c r="E31" s="1">
        <v>105</v>
      </c>
      <c r="H31" s="1">
        <v>105</v>
      </c>
      <c r="I31" s="1">
        <v>120</v>
      </c>
      <c r="J31" s="1">
        <v>557</v>
      </c>
      <c r="K31" s="1" t="s">
        <v>207</v>
      </c>
      <c r="L31" s="1" t="s">
        <v>208</v>
      </c>
      <c r="M31" s="1" t="s">
        <v>54</v>
      </c>
      <c r="N31" s="1" t="s">
        <v>25</v>
      </c>
      <c r="P31" s="1" t="s">
        <v>27</v>
      </c>
      <c r="Q31" s="1" t="s">
        <v>209</v>
      </c>
      <c r="R31" s="1" t="b">
        <f>COUNTIF(  Papers!G:G, RAW_DATA!Q31 ) = 0</f>
        <v>0</v>
      </c>
      <c r="S31" s="1" t="b">
        <f t="shared" si="0"/>
        <v>0</v>
      </c>
    </row>
    <row r="32" spans="1:19" ht="15.75" customHeight="1">
      <c r="A32" s="1" t="s">
        <v>210</v>
      </c>
      <c r="B32" s="1" t="s">
        <v>211</v>
      </c>
      <c r="C32" s="1">
        <v>2024</v>
      </c>
      <c r="D32" s="1" t="s">
        <v>212</v>
      </c>
      <c r="E32" s="1">
        <v>40</v>
      </c>
      <c r="F32" s="1">
        <v>5</v>
      </c>
      <c r="H32" s="1">
        <v>1251</v>
      </c>
      <c r="I32" s="1">
        <v>1266</v>
      </c>
      <c r="J32" s="1">
        <v>239</v>
      </c>
      <c r="K32" s="1" t="s">
        <v>213</v>
      </c>
      <c r="L32" s="1" t="s">
        <v>214</v>
      </c>
      <c r="M32" s="1" t="s">
        <v>54</v>
      </c>
      <c r="N32" s="1" t="s">
        <v>25</v>
      </c>
      <c r="O32" s="1" t="s">
        <v>120</v>
      </c>
      <c r="P32" s="1" t="s">
        <v>27</v>
      </c>
      <c r="Q32" s="1" t="s">
        <v>215</v>
      </c>
      <c r="R32" s="1" t="b">
        <f>COUNTIF(  Papers!G:G, RAW_DATA!Q32 ) = 0</f>
        <v>0</v>
      </c>
      <c r="S32" s="1" t="b">
        <f t="shared" si="0"/>
        <v>0</v>
      </c>
    </row>
    <row r="33" spans="1:19" ht="15.75" customHeight="1">
      <c r="A33" s="1" t="s">
        <v>216</v>
      </c>
      <c r="B33" s="1" t="s">
        <v>217</v>
      </c>
      <c r="C33" s="1">
        <v>2020</v>
      </c>
      <c r="D33" s="1" t="s">
        <v>218</v>
      </c>
      <c r="E33" s="1">
        <v>103</v>
      </c>
      <c r="F33" s="1">
        <v>3</v>
      </c>
      <c r="H33" s="1">
        <v>2631</v>
      </c>
      <c r="I33" s="1">
        <v>2689</v>
      </c>
      <c r="J33" s="1">
        <v>376</v>
      </c>
      <c r="K33" s="1" t="s">
        <v>219</v>
      </c>
      <c r="L33" s="1" t="s">
        <v>220</v>
      </c>
      <c r="M33" s="1" t="s">
        <v>24</v>
      </c>
      <c r="N33" s="1" t="s">
        <v>25</v>
      </c>
      <c r="P33" s="1" t="s">
        <v>27</v>
      </c>
      <c r="Q33" s="1" t="s">
        <v>221</v>
      </c>
      <c r="R33" s="1" t="b">
        <f>COUNTIF(  Papers!G:G, RAW_DATA!Q33 ) = 0</f>
        <v>0</v>
      </c>
      <c r="S33" s="1" t="b">
        <f t="shared" si="0"/>
        <v>0</v>
      </c>
    </row>
    <row r="34" spans="1:19" ht="15.75" customHeight="1">
      <c r="A34" s="1" t="s">
        <v>222</v>
      </c>
      <c r="B34" s="1" t="s">
        <v>223</v>
      </c>
      <c r="C34" s="1">
        <v>2020</v>
      </c>
      <c r="D34" s="1" t="s">
        <v>224</v>
      </c>
      <c r="E34" s="1">
        <v>14</v>
      </c>
      <c r="F34" s="1">
        <v>2</v>
      </c>
      <c r="H34" s="1">
        <v>627</v>
      </c>
      <c r="I34" s="1">
        <v>660</v>
      </c>
      <c r="J34" s="1">
        <v>1836</v>
      </c>
      <c r="K34" s="1" t="s">
        <v>225</v>
      </c>
      <c r="L34" s="1" t="s">
        <v>226</v>
      </c>
      <c r="M34" s="1" t="s">
        <v>54</v>
      </c>
      <c r="N34" s="1" t="s">
        <v>25</v>
      </c>
      <c r="P34" s="1" t="s">
        <v>27</v>
      </c>
      <c r="Q34" s="1" t="s">
        <v>227</v>
      </c>
      <c r="R34" s="1" t="b">
        <f>COUNTIF(  Papers!G:G, RAW_DATA!Q34 ) = 0</f>
        <v>0</v>
      </c>
      <c r="S34" s="1" t="b">
        <f t="shared" si="0"/>
        <v>0</v>
      </c>
    </row>
    <row r="35" spans="1:19" ht="15.75" customHeight="1">
      <c r="A35" s="1" t="s">
        <v>228</v>
      </c>
      <c r="B35" s="1" t="s">
        <v>229</v>
      </c>
      <c r="C35" s="1">
        <v>2018</v>
      </c>
      <c r="D35" s="1" t="s">
        <v>59</v>
      </c>
      <c r="E35" s="1">
        <v>95</v>
      </c>
      <c r="H35" s="1">
        <v>320</v>
      </c>
      <c r="I35" s="1">
        <v>334</v>
      </c>
      <c r="J35" s="1">
        <v>580</v>
      </c>
      <c r="K35" s="1" t="s">
        <v>230</v>
      </c>
      <c r="L35" s="1" t="s">
        <v>231</v>
      </c>
      <c r="M35" s="1" t="s">
        <v>54</v>
      </c>
      <c r="N35" s="1" t="s">
        <v>25</v>
      </c>
      <c r="P35" s="1" t="s">
        <v>27</v>
      </c>
      <c r="Q35" s="1" t="s">
        <v>232</v>
      </c>
      <c r="R35" s="1" t="b">
        <f>COUNTIF(  Papers!G:G, RAW_DATA!Q35 ) = 0</f>
        <v>0</v>
      </c>
      <c r="S35" s="1" t="b">
        <f t="shared" si="0"/>
        <v>0</v>
      </c>
    </row>
    <row r="36" spans="1:19" ht="15.75" customHeight="1">
      <c r="A36" s="1" t="s">
        <v>233</v>
      </c>
      <c r="B36" s="1" t="s">
        <v>234</v>
      </c>
      <c r="C36" s="1">
        <v>2022</v>
      </c>
      <c r="D36" s="1" t="s">
        <v>235</v>
      </c>
      <c r="E36" s="1">
        <v>3</v>
      </c>
      <c r="H36" s="1">
        <v>119</v>
      </c>
      <c r="I36" s="1">
        <v>132</v>
      </c>
      <c r="J36" s="1">
        <v>738</v>
      </c>
      <c r="K36" s="1" t="s">
        <v>236</v>
      </c>
      <c r="L36" s="1" t="s">
        <v>237</v>
      </c>
      <c r="M36" s="1" t="s">
        <v>24</v>
      </c>
      <c r="N36" s="1" t="s">
        <v>25</v>
      </c>
      <c r="O36" s="1" t="s">
        <v>26</v>
      </c>
      <c r="P36" s="1" t="s">
        <v>27</v>
      </c>
      <c r="Q36" s="1" t="s">
        <v>238</v>
      </c>
      <c r="R36" s="1" t="b">
        <f>COUNTIF(  Papers!G:G, RAW_DATA!Q36 ) = 0</f>
        <v>0</v>
      </c>
      <c r="S36" s="1" t="b">
        <f t="shared" si="0"/>
        <v>0</v>
      </c>
    </row>
    <row r="37" spans="1:19" ht="15.75" customHeight="1">
      <c r="A37" s="1" t="s">
        <v>239</v>
      </c>
      <c r="B37" s="1" t="s">
        <v>240</v>
      </c>
      <c r="C37" s="1">
        <v>2016</v>
      </c>
      <c r="D37" s="1" t="s">
        <v>241</v>
      </c>
      <c r="E37" s="1">
        <v>146</v>
      </c>
      <c r="H37" s="1">
        <v>22</v>
      </c>
      <c r="I37" s="1">
        <v>32</v>
      </c>
      <c r="J37" s="1">
        <v>360</v>
      </c>
      <c r="K37" s="1" t="s">
        <v>242</v>
      </c>
      <c r="L37" s="1" t="s">
        <v>243</v>
      </c>
      <c r="M37" s="1" t="s">
        <v>54</v>
      </c>
      <c r="N37" s="1" t="s">
        <v>25</v>
      </c>
      <c r="O37" s="1" t="s">
        <v>55</v>
      </c>
      <c r="P37" s="1" t="s">
        <v>27</v>
      </c>
      <c r="Q37" s="1" t="s">
        <v>244</v>
      </c>
      <c r="R37" s="1" t="b">
        <f>COUNTIF(  Papers!G:G, RAW_DATA!Q37 ) = 0</f>
        <v>0</v>
      </c>
      <c r="S37" s="1" t="b">
        <f t="shared" si="0"/>
        <v>0</v>
      </c>
    </row>
    <row r="38" spans="1:19" ht="15.75" customHeight="1">
      <c r="A38" s="1" t="s">
        <v>245</v>
      </c>
      <c r="B38" s="1" t="s">
        <v>246</v>
      </c>
      <c r="C38" s="1">
        <v>2018</v>
      </c>
      <c r="D38" s="1" t="s">
        <v>247</v>
      </c>
      <c r="E38" s="1" t="s">
        <v>248</v>
      </c>
      <c r="J38" s="1">
        <v>639</v>
      </c>
      <c r="K38" s="1" t="s">
        <v>249</v>
      </c>
      <c r="L38" s="1" t="s">
        <v>250</v>
      </c>
      <c r="M38" s="1" t="s">
        <v>169</v>
      </c>
      <c r="N38" s="1" t="s">
        <v>25</v>
      </c>
      <c r="P38" s="1" t="s">
        <v>27</v>
      </c>
      <c r="Q38" s="1" t="s">
        <v>251</v>
      </c>
      <c r="R38" s="1" t="b">
        <f>COUNTIF(  Papers!G:G, RAW_DATA!Q38 ) = 0</f>
        <v>0</v>
      </c>
      <c r="S38" s="1" t="b">
        <f t="shared" si="0"/>
        <v>0</v>
      </c>
    </row>
    <row r="39" spans="1:19" ht="15.75" customHeight="1">
      <c r="A39" s="1" t="s">
        <v>252</v>
      </c>
      <c r="B39" s="1" t="s">
        <v>253</v>
      </c>
      <c r="C39" s="1">
        <v>2020</v>
      </c>
      <c r="D39" s="1" t="s">
        <v>21</v>
      </c>
      <c r="E39" s="1">
        <v>8</v>
      </c>
      <c r="G39" s="1">
        <v>9110603</v>
      </c>
      <c r="H39" s="1">
        <v>110461</v>
      </c>
      <c r="I39" s="1">
        <v>110477</v>
      </c>
      <c r="J39" s="1">
        <v>233</v>
      </c>
      <c r="K39" s="1" t="s">
        <v>254</v>
      </c>
      <c r="L39" s="1" t="s">
        <v>255</v>
      </c>
      <c r="M39" s="1" t="s">
        <v>54</v>
      </c>
      <c r="N39" s="1" t="s">
        <v>25</v>
      </c>
      <c r="O39" s="1" t="s">
        <v>26</v>
      </c>
      <c r="P39" s="1" t="s">
        <v>27</v>
      </c>
      <c r="Q39" s="1" t="s">
        <v>256</v>
      </c>
      <c r="R39" s="1" t="b">
        <f>COUNTIF(  Papers!G:G, RAW_DATA!Q39 ) = 0</f>
        <v>0</v>
      </c>
      <c r="S39" s="1" t="b">
        <f t="shared" si="0"/>
        <v>0</v>
      </c>
    </row>
    <row r="40" spans="1:19" ht="15.75" customHeight="1">
      <c r="A40" s="1" t="s">
        <v>257</v>
      </c>
      <c r="B40" s="1" t="s">
        <v>258</v>
      </c>
      <c r="C40" s="1">
        <v>2020</v>
      </c>
      <c r="D40" s="1" t="s">
        <v>206</v>
      </c>
      <c r="E40" s="1">
        <v>161</v>
      </c>
      <c r="G40" s="1">
        <v>120319</v>
      </c>
      <c r="J40" s="1">
        <v>302</v>
      </c>
      <c r="K40" s="1" t="s">
        <v>259</v>
      </c>
      <c r="L40" s="1" t="s">
        <v>260</v>
      </c>
      <c r="M40" s="1" t="s">
        <v>54</v>
      </c>
      <c r="N40" s="1" t="s">
        <v>25</v>
      </c>
      <c r="O40" s="1" t="s">
        <v>55</v>
      </c>
      <c r="P40" s="1" t="s">
        <v>27</v>
      </c>
      <c r="Q40" s="1" t="s">
        <v>261</v>
      </c>
      <c r="R40" s="1" t="b">
        <f>COUNTIF(  Papers!G:G, RAW_DATA!Q40 ) = 0</f>
        <v>0</v>
      </c>
      <c r="S40" s="1" t="b">
        <f t="shared" si="0"/>
        <v>0</v>
      </c>
    </row>
    <row r="41" spans="1:19" ht="15.75" customHeight="1">
      <c r="A41" s="1" t="s">
        <v>262</v>
      </c>
      <c r="B41" s="1" t="s">
        <v>263</v>
      </c>
      <c r="C41" s="1">
        <v>2020</v>
      </c>
      <c r="D41" s="1" t="s">
        <v>264</v>
      </c>
      <c r="E41" s="1">
        <v>44</v>
      </c>
      <c r="F41" s="1">
        <v>6</v>
      </c>
      <c r="G41" s="1">
        <v>101976</v>
      </c>
      <c r="J41" s="1">
        <v>461</v>
      </c>
      <c r="K41" s="1" t="s">
        <v>265</v>
      </c>
      <c r="L41" s="1" t="s">
        <v>266</v>
      </c>
      <c r="M41" s="1" t="s">
        <v>54</v>
      </c>
      <c r="N41" s="1" t="s">
        <v>25</v>
      </c>
      <c r="O41" s="1" t="s">
        <v>113</v>
      </c>
      <c r="P41" s="1" t="s">
        <v>27</v>
      </c>
      <c r="Q41" s="1" t="s">
        <v>267</v>
      </c>
      <c r="R41" s="1" t="b">
        <f>COUNTIF(  Papers!G:G, RAW_DATA!Q41 ) = 0</f>
        <v>0</v>
      </c>
      <c r="S41" s="1" t="b">
        <f t="shared" si="0"/>
        <v>0</v>
      </c>
    </row>
    <row r="42" spans="1:19" ht="15.75" customHeight="1">
      <c r="A42" s="1" t="s">
        <v>268</v>
      </c>
      <c r="B42" s="1" t="s">
        <v>269</v>
      </c>
      <c r="C42" s="1">
        <v>2021</v>
      </c>
      <c r="D42" s="1" t="s">
        <v>270</v>
      </c>
      <c r="E42" s="1">
        <v>109</v>
      </c>
      <c r="F42" s="1">
        <v>5</v>
      </c>
      <c r="G42" s="1">
        <v>9347460</v>
      </c>
      <c r="H42" s="1">
        <v>756</v>
      </c>
      <c r="I42" s="1">
        <v>795</v>
      </c>
      <c r="J42" s="1">
        <v>892</v>
      </c>
      <c r="K42" s="1" t="s">
        <v>271</v>
      </c>
      <c r="L42" s="1" t="s">
        <v>272</v>
      </c>
      <c r="M42" s="1" t="s">
        <v>54</v>
      </c>
      <c r="N42" s="1" t="s">
        <v>25</v>
      </c>
      <c r="O42" s="1" t="s">
        <v>100</v>
      </c>
      <c r="P42" s="1" t="s">
        <v>27</v>
      </c>
      <c r="Q42" s="1" t="s">
        <v>273</v>
      </c>
      <c r="R42" s="1" t="b">
        <f>COUNTIF(  Papers!G:G, RAW_DATA!Q42 ) = 0</f>
        <v>0</v>
      </c>
      <c r="S42" s="1" t="b">
        <f t="shared" si="0"/>
        <v>0</v>
      </c>
    </row>
    <row r="43" spans="1:19" ht="15.75" customHeight="1">
      <c r="A43" s="1" t="s">
        <v>274</v>
      </c>
      <c r="B43" s="1" t="s">
        <v>275</v>
      </c>
      <c r="C43" s="1">
        <v>2021</v>
      </c>
      <c r="D43" s="1" t="s">
        <v>206</v>
      </c>
      <c r="E43" s="1">
        <v>162</v>
      </c>
      <c r="G43" s="1">
        <v>120392</v>
      </c>
      <c r="J43" s="1">
        <v>788</v>
      </c>
      <c r="K43" s="1" t="s">
        <v>276</v>
      </c>
      <c r="L43" s="1" t="s">
        <v>277</v>
      </c>
      <c r="M43" s="1" t="s">
        <v>54</v>
      </c>
      <c r="N43" s="1" t="s">
        <v>25</v>
      </c>
      <c r="O43" s="1" t="s">
        <v>55</v>
      </c>
      <c r="P43" s="1" t="s">
        <v>27</v>
      </c>
      <c r="Q43" s="1" t="s">
        <v>278</v>
      </c>
      <c r="R43" s="1" t="b">
        <f>COUNTIF(  Papers!G:G, RAW_DATA!Q43 ) = 0</f>
        <v>0</v>
      </c>
      <c r="S43" s="1" t="b">
        <f t="shared" si="0"/>
        <v>0</v>
      </c>
    </row>
    <row r="44" spans="1:19" ht="15.75" customHeight="1">
      <c r="A44" s="1" t="s">
        <v>279</v>
      </c>
      <c r="B44" s="1" t="s">
        <v>280</v>
      </c>
      <c r="C44" s="1">
        <v>2021</v>
      </c>
      <c r="D44" s="1" t="s">
        <v>281</v>
      </c>
      <c r="G44" s="1">
        <v>3445923</v>
      </c>
      <c r="H44" s="1">
        <v>624</v>
      </c>
      <c r="I44" s="1">
        <v>635</v>
      </c>
      <c r="J44" s="1">
        <v>466</v>
      </c>
      <c r="K44" s="1" t="s">
        <v>282</v>
      </c>
      <c r="L44" s="1" t="s">
        <v>283</v>
      </c>
      <c r="M44" s="1" t="s">
        <v>169</v>
      </c>
      <c r="N44" s="1" t="s">
        <v>25</v>
      </c>
      <c r="P44" s="1" t="s">
        <v>27</v>
      </c>
      <c r="Q44" s="1" t="s">
        <v>284</v>
      </c>
      <c r="R44" s="1" t="b">
        <f>COUNTIF(  Papers!G:G, RAW_DATA!Q44 ) = 0</f>
        <v>0</v>
      </c>
      <c r="S44" s="1" t="b">
        <f t="shared" si="0"/>
        <v>0</v>
      </c>
    </row>
    <row r="45" spans="1:19" ht="15.75" customHeight="1">
      <c r="A45" s="1" t="s">
        <v>285</v>
      </c>
      <c r="B45" s="1" t="s">
        <v>286</v>
      </c>
      <c r="C45" s="1">
        <v>2016</v>
      </c>
      <c r="D45" s="1" t="s">
        <v>165</v>
      </c>
      <c r="E45" s="1" t="s">
        <v>287</v>
      </c>
      <c r="G45" s="1">
        <v>7451740</v>
      </c>
      <c r="H45" s="1">
        <v>101</v>
      </c>
      <c r="I45" s="1">
        <v>108</v>
      </c>
      <c r="J45" s="1">
        <v>398</v>
      </c>
      <c r="K45" s="1" t="s">
        <v>288</v>
      </c>
      <c r="L45" s="1" t="s">
        <v>289</v>
      </c>
      <c r="M45" s="1" t="s">
        <v>169</v>
      </c>
      <c r="N45" s="1" t="s">
        <v>25</v>
      </c>
      <c r="P45" s="1" t="s">
        <v>27</v>
      </c>
      <c r="Q45" s="1" t="s">
        <v>290</v>
      </c>
      <c r="R45" s="1" t="b">
        <f>COUNTIF(  Papers!G:G, RAW_DATA!Q45 ) = 0</f>
        <v>0</v>
      </c>
      <c r="S45" s="1" t="b">
        <f t="shared" si="0"/>
        <v>0</v>
      </c>
    </row>
    <row r="46" spans="1:19" ht="15.75" customHeight="1">
      <c r="A46" s="1" t="s">
        <v>291</v>
      </c>
      <c r="B46" s="1" t="s">
        <v>292</v>
      </c>
      <c r="C46" s="1">
        <v>2021</v>
      </c>
      <c r="D46" s="1" t="s">
        <v>189</v>
      </c>
      <c r="E46" s="1">
        <v>118</v>
      </c>
      <c r="G46" s="1">
        <v>106700</v>
      </c>
      <c r="J46" s="1">
        <v>260</v>
      </c>
      <c r="K46" s="1" t="s">
        <v>293</v>
      </c>
      <c r="L46" s="1" t="s">
        <v>294</v>
      </c>
      <c r="M46" s="1" t="s">
        <v>54</v>
      </c>
      <c r="N46" s="1" t="s">
        <v>25</v>
      </c>
      <c r="P46" s="1" t="s">
        <v>27</v>
      </c>
      <c r="Q46" s="1" t="s">
        <v>295</v>
      </c>
      <c r="R46" s="1" t="b">
        <f>COUNTIF(  Papers!G:G, RAW_DATA!Q46 ) = 0</f>
        <v>0</v>
      </c>
      <c r="S46" s="1" t="b">
        <f t="shared" si="0"/>
        <v>0</v>
      </c>
    </row>
    <row r="47" spans="1:19" ht="15.75" customHeight="1">
      <c r="A47" s="1" t="s">
        <v>296</v>
      </c>
      <c r="B47" s="1" t="s">
        <v>297</v>
      </c>
      <c r="C47" s="1">
        <v>2023</v>
      </c>
      <c r="D47" s="1" t="s">
        <v>298</v>
      </c>
      <c r="E47" s="1">
        <v>55</v>
      </c>
      <c r="F47" s="1">
        <v>2</v>
      </c>
      <c r="G47" s="1">
        <v>3491209</v>
      </c>
      <c r="J47" s="1">
        <v>603</v>
      </c>
      <c r="K47" s="1" t="s">
        <v>299</v>
      </c>
      <c r="L47" s="1" t="s">
        <v>300</v>
      </c>
      <c r="M47" s="1" t="s">
        <v>24</v>
      </c>
      <c r="N47" s="1" t="s">
        <v>25</v>
      </c>
      <c r="P47" s="1" t="s">
        <v>27</v>
      </c>
      <c r="Q47" s="1" t="s">
        <v>301</v>
      </c>
      <c r="R47" s="1" t="b">
        <f>COUNTIF(  Papers!G:G, RAW_DATA!Q47 ) = 0</f>
        <v>0</v>
      </c>
      <c r="S47" s="1" t="b">
        <f t="shared" si="0"/>
        <v>0</v>
      </c>
    </row>
    <row r="48" spans="1:19" ht="15.75" customHeight="1">
      <c r="A48" s="1" t="s">
        <v>302</v>
      </c>
      <c r="B48" s="1" t="s">
        <v>303</v>
      </c>
      <c r="C48" s="1">
        <v>2017</v>
      </c>
      <c r="D48" s="1" t="s">
        <v>304</v>
      </c>
      <c r="E48" s="1">
        <v>44</v>
      </c>
      <c r="H48" s="1">
        <v>42</v>
      </c>
      <c r="I48" s="1">
        <v>52</v>
      </c>
      <c r="J48" s="1">
        <v>372</v>
      </c>
      <c r="K48" s="1" t="s">
        <v>305</v>
      </c>
      <c r="L48" s="1" t="s">
        <v>306</v>
      </c>
      <c r="M48" s="1" t="s">
        <v>54</v>
      </c>
      <c r="N48" s="1" t="s">
        <v>25</v>
      </c>
      <c r="P48" s="1" t="s">
        <v>27</v>
      </c>
      <c r="Q48" s="1" t="s">
        <v>307</v>
      </c>
      <c r="R48" s="1" t="b">
        <f>COUNTIF(  Papers!G:G, RAW_DATA!Q48 ) = 0</f>
        <v>0</v>
      </c>
      <c r="S48" s="1" t="b">
        <f t="shared" si="0"/>
        <v>0</v>
      </c>
    </row>
    <row r="49" spans="1:19" ht="15.75" customHeight="1">
      <c r="A49" s="1" t="s">
        <v>308</v>
      </c>
      <c r="B49" s="1" t="s">
        <v>309</v>
      </c>
      <c r="C49" s="1">
        <v>2023</v>
      </c>
      <c r="D49" s="1" t="s">
        <v>104</v>
      </c>
      <c r="E49" s="1">
        <v>96</v>
      </c>
      <c r="H49" s="1">
        <v>156</v>
      </c>
      <c r="I49" s="1">
        <v>191</v>
      </c>
      <c r="J49" s="1">
        <v>595</v>
      </c>
      <c r="K49" s="1" t="s">
        <v>310</v>
      </c>
      <c r="L49" s="1" t="s">
        <v>311</v>
      </c>
      <c r="M49" s="1" t="s">
        <v>54</v>
      </c>
      <c r="N49" s="1" t="s">
        <v>25</v>
      </c>
      <c r="P49" s="1" t="s">
        <v>27</v>
      </c>
      <c r="Q49" s="1" t="s">
        <v>312</v>
      </c>
      <c r="R49" s="1" t="b">
        <f>COUNTIF(  Papers!G:G, RAW_DATA!Q49 ) = 0</f>
        <v>0</v>
      </c>
      <c r="S49" s="1" t="b">
        <f t="shared" si="0"/>
        <v>0</v>
      </c>
    </row>
    <row r="50" spans="1:19" ht="15.75" customHeight="1">
      <c r="A50" s="1" t="s">
        <v>313</v>
      </c>
      <c r="B50" s="1" t="s">
        <v>314</v>
      </c>
      <c r="C50" s="1">
        <v>2024</v>
      </c>
      <c r="D50" s="1" t="s">
        <v>315</v>
      </c>
      <c r="E50" s="1">
        <v>18</v>
      </c>
      <c r="F50" s="1">
        <v>1</v>
      </c>
      <c r="H50" s="1">
        <v>3</v>
      </c>
      <c r="I50" s="1">
        <v>32</v>
      </c>
      <c r="J50" s="1">
        <v>268</v>
      </c>
      <c r="K50" s="1" t="s">
        <v>316</v>
      </c>
      <c r="L50" s="1" t="s">
        <v>317</v>
      </c>
      <c r="M50" s="1" t="s">
        <v>54</v>
      </c>
      <c r="N50" s="1" t="s">
        <v>25</v>
      </c>
      <c r="O50" s="1" t="s">
        <v>100</v>
      </c>
      <c r="P50" s="1" t="s">
        <v>27</v>
      </c>
      <c r="Q50" s="1" t="s">
        <v>318</v>
      </c>
      <c r="R50" s="1" t="b">
        <f>COUNTIF(  Papers!G:G, RAW_DATA!Q50 ) = 0</f>
        <v>0</v>
      </c>
      <c r="S50" s="1" t="b">
        <f t="shared" si="0"/>
        <v>0</v>
      </c>
    </row>
    <row r="51" spans="1:19" ht="15.75" customHeight="1">
      <c r="A51" s="1" t="s">
        <v>319</v>
      </c>
      <c r="B51" s="1" t="s">
        <v>320</v>
      </c>
      <c r="C51" s="1">
        <v>2019</v>
      </c>
      <c r="D51" s="1" t="s">
        <v>321</v>
      </c>
      <c r="E51" s="1">
        <v>116</v>
      </c>
      <c r="F51" s="1">
        <v>16</v>
      </c>
      <c r="H51" s="1">
        <v>7684</v>
      </c>
      <c r="I51" s="1">
        <v>7691</v>
      </c>
      <c r="J51" s="1">
        <v>265</v>
      </c>
      <c r="K51" s="1" t="s">
        <v>322</v>
      </c>
      <c r="L51" s="1" t="s">
        <v>323</v>
      </c>
      <c r="M51" s="1" t="s">
        <v>54</v>
      </c>
      <c r="N51" s="1" t="s">
        <v>25</v>
      </c>
      <c r="O51" s="1" t="s">
        <v>324</v>
      </c>
      <c r="P51" s="1" t="s">
        <v>27</v>
      </c>
      <c r="Q51" s="1" t="s">
        <v>325</v>
      </c>
      <c r="R51" s="1" t="b">
        <f>COUNTIF(  Papers!G:G, RAW_DATA!Q51 ) = 0</f>
        <v>0</v>
      </c>
      <c r="S51" s="1" t="b">
        <f t="shared" si="0"/>
        <v>0</v>
      </c>
    </row>
    <row r="52" spans="1:19" ht="15.75" customHeight="1">
      <c r="A52" s="1" t="s">
        <v>326</v>
      </c>
      <c r="B52" s="1" t="s">
        <v>327</v>
      </c>
      <c r="C52" s="1">
        <v>2023</v>
      </c>
      <c r="D52" s="1" t="s">
        <v>212</v>
      </c>
      <c r="E52" s="1">
        <v>39</v>
      </c>
      <c r="F52" s="1">
        <v>3</v>
      </c>
      <c r="H52" s="1">
        <v>391</v>
      </c>
      <c r="I52" s="1">
        <v>437</v>
      </c>
      <c r="J52" s="1">
        <v>392</v>
      </c>
      <c r="K52" s="1" t="s">
        <v>328</v>
      </c>
      <c r="L52" s="1" t="s">
        <v>329</v>
      </c>
      <c r="M52" s="1" t="s">
        <v>54</v>
      </c>
      <c r="N52" s="1" t="s">
        <v>25</v>
      </c>
      <c r="O52" s="1" t="s">
        <v>100</v>
      </c>
      <c r="P52" s="1" t="s">
        <v>27</v>
      </c>
      <c r="Q52" s="1" t="s">
        <v>330</v>
      </c>
      <c r="R52" s="1" t="b">
        <f>COUNTIF(  Papers!G:G, RAW_DATA!Q52 ) = 0</f>
        <v>0</v>
      </c>
      <c r="S52" s="1" t="b">
        <f t="shared" si="0"/>
        <v>0</v>
      </c>
    </row>
    <row r="53" spans="1:19" ht="15.75" customHeight="1">
      <c r="A53" s="1" t="s">
        <v>331</v>
      </c>
      <c r="B53" s="1" t="s">
        <v>332</v>
      </c>
      <c r="C53" s="1">
        <v>2022</v>
      </c>
      <c r="D53" s="1" t="s">
        <v>333</v>
      </c>
      <c r="E53" s="1">
        <v>179</v>
      </c>
      <c r="F53" s="1">
        <v>1</v>
      </c>
      <c r="H53" s="1">
        <v>43</v>
      </c>
      <c r="I53" s="1">
        <v>61</v>
      </c>
      <c r="J53" s="1">
        <v>277</v>
      </c>
      <c r="K53" s="1" t="s">
        <v>334</v>
      </c>
      <c r="L53" s="1" t="s">
        <v>335</v>
      </c>
      <c r="M53" s="1" t="s">
        <v>54</v>
      </c>
      <c r="N53" s="1" t="s">
        <v>25</v>
      </c>
      <c r="O53" s="1" t="s">
        <v>100</v>
      </c>
      <c r="P53" s="1" t="s">
        <v>27</v>
      </c>
      <c r="Q53" s="1" t="s">
        <v>336</v>
      </c>
      <c r="R53" s="1" t="b">
        <f>COUNTIF(  Papers!G:G, RAW_DATA!Q53 ) = 0</f>
        <v>0</v>
      </c>
      <c r="S53" s="1" t="b">
        <f t="shared" si="0"/>
        <v>0</v>
      </c>
    </row>
    <row r="54" spans="1:19" ht="15.75" customHeight="1">
      <c r="A54" s="1" t="s">
        <v>337</v>
      </c>
      <c r="B54" s="1" t="s">
        <v>338</v>
      </c>
      <c r="C54" s="1">
        <v>2019</v>
      </c>
      <c r="D54" s="1" t="s">
        <v>339</v>
      </c>
      <c r="E54" s="1">
        <v>8</v>
      </c>
      <c r="F54" s="1">
        <v>4</v>
      </c>
      <c r="J54" s="1">
        <v>231</v>
      </c>
      <c r="K54" s="1" t="s">
        <v>340</v>
      </c>
      <c r="L54" s="1" t="s">
        <v>341</v>
      </c>
      <c r="M54" s="1" t="s">
        <v>54</v>
      </c>
      <c r="N54" s="1" t="s">
        <v>25</v>
      </c>
      <c r="O54" s="1" t="s">
        <v>26</v>
      </c>
      <c r="P54" s="1" t="s">
        <v>27</v>
      </c>
      <c r="Q54" s="1" t="s">
        <v>342</v>
      </c>
      <c r="R54" s="1" t="b">
        <f>COUNTIF(  Papers!G:G, RAW_DATA!Q54 ) = 0</f>
        <v>0</v>
      </c>
      <c r="S54" s="1" t="b">
        <f t="shared" si="0"/>
        <v>0</v>
      </c>
    </row>
    <row r="55" spans="1:19" ht="15.75" customHeight="1">
      <c r="A55" s="1" t="s">
        <v>343</v>
      </c>
      <c r="B55" s="1" t="s">
        <v>344</v>
      </c>
      <c r="C55" s="1">
        <v>2022</v>
      </c>
      <c r="D55" s="1" t="s">
        <v>206</v>
      </c>
      <c r="E55" s="1">
        <v>181</v>
      </c>
      <c r="G55" s="1">
        <v>121763</v>
      </c>
      <c r="J55" s="1">
        <v>221</v>
      </c>
      <c r="K55" s="1" t="s">
        <v>345</v>
      </c>
      <c r="L55" s="1" t="s">
        <v>346</v>
      </c>
      <c r="M55" s="1" t="s">
        <v>54</v>
      </c>
      <c r="N55" s="1" t="s">
        <v>25</v>
      </c>
      <c r="P55" s="1" t="s">
        <v>27</v>
      </c>
      <c r="Q55" s="1" t="s">
        <v>347</v>
      </c>
      <c r="R55" s="1" t="b">
        <f>COUNTIF(  Papers!G:G, RAW_DATA!Q55 ) = 0</f>
        <v>0</v>
      </c>
      <c r="S55" s="1" t="b">
        <f t="shared" si="0"/>
        <v>0</v>
      </c>
    </row>
    <row r="56" spans="1:19" ht="15.75" customHeight="1">
      <c r="A56" s="1" t="s">
        <v>348</v>
      </c>
      <c r="B56" s="1" t="s">
        <v>349</v>
      </c>
      <c r="C56" s="1">
        <v>2020</v>
      </c>
      <c r="D56" s="1" t="s">
        <v>350</v>
      </c>
      <c r="H56" s="1">
        <v>272</v>
      </c>
      <c r="I56" s="1">
        <v>283</v>
      </c>
      <c r="J56" s="1">
        <v>254</v>
      </c>
      <c r="K56" s="1" t="s">
        <v>351</v>
      </c>
      <c r="L56" s="1" t="s">
        <v>352</v>
      </c>
      <c r="M56" s="1" t="s">
        <v>169</v>
      </c>
      <c r="N56" s="1" t="s">
        <v>25</v>
      </c>
      <c r="O56" s="1" t="s">
        <v>113</v>
      </c>
      <c r="P56" s="1" t="s">
        <v>27</v>
      </c>
      <c r="Q56" s="1" t="s">
        <v>353</v>
      </c>
      <c r="R56" s="1" t="b">
        <f>COUNTIF(  Papers!G:G, RAW_DATA!Q56 ) = 0</f>
        <v>0</v>
      </c>
      <c r="S56" s="1" t="b">
        <f t="shared" si="0"/>
        <v>0</v>
      </c>
    </row>
    <row r="57" spans="1:19" ht="15.75" customHeight="1">
      <c r="A57" s="1" t="s">
        <v>354</v>
      </c>
      <c r="B57" s="1" t="s">
        <v>355</v>
      </c>
      <c r="C57" s="1">
        <v>2023</v>
      </c>
      <c r="D57" s="1" t="s">
        <v>212</v>
      </c>
      <c r="E57" s="1">
        <v>39</v>
      </c>
      <c r="F57" s="1">
        <v>9</v>
      </c>
      <c r="H57" s="1">
        <v>1727</v>
      </c>
      <c r="I57" s="1">
        <v>1739</v>
      </c>
      <c r="J57" s="1">
        <v>593</v>
      </c>
      <c r="K57" s="1" t="s">
        <v>356</v>
      </c>
      <c r="L57" s="1" t="s">
        <v>357</v>
      </c>
      <c r="M57" s="1" t="s">
        <v>54</v>
      </c>
      <c r="N57" s="1" t="s">
        <v>25</v>
      </c>
      <c r="O57" s="1" t="s">
        <v>113</v>
      </c>
      <c r="P57" s="1" t="s">
        <v>27</v>
      </c>
      <c r="Q57" s="1" t="s">
        <v>358</v>
      </c>
      <c r="R57" s="1" t="b">
        <f>COUNTIF(  Papers!G:G, RAW_DATA!Q57 ) = 0</f>
        <v>0</v>
      </c>
      <c r="S57" s="1" t="b">
        <f t="shared" si="0"/>
        <v>0</v>
      </c>
    </row>
    <row r="58" spans="1:19" ht="15.75" customHeight="1">
      <c r="A58" s="1" t="s">
        <v>359</v>
      </c>
      <c r="B58" s="1" t="s">
        <v>360</v>
      </c>
      <c r="C58" s="1">
        <v>2016</v>
      </c>
      <c r="D58" s="1" t="s">
        <v>361</v>
      </c>
      <c r="E58" s="1">
        <v>11</v>
      </c>
      <c r="F58" s="1">
        <v>12</v>
      </c>
      <c r="G58" s="1" t="s">
        <v>362</v>
      </c>
      <c r="J58" s="1">
        <v>342</v>
      </c>
      <c r="K58" s="1" t="s">
        <v>363</v>
      </c>
      <c r="L58" s="1" t="s">
        <v>364</v>
      </c>
      <c r="M58" s="1" t="s">
        <v>54</v>
      </c>
      <c r="N58" s="1" t="s">
        <v>25</v>
      </c>
      <c r="O58" s="1" t="s">
        <v>26</v>
      </c>
      <c r="P58" s="1" t="s">
        <v>27</v>
      </c>
      <c r="Q58" s="1" t="s">
        <v>365</v>
      </c>
      <c r="R58" s="1" t="b">
        <f>COUNTIF(  Papers!G:G, RAW_DATA!Q58 ) = 0</f>
        <v>0</v>
      </c>
      <c r="S58" s="1" t="b">
        <f t="shared" si="0"/>
        <v>0</v>
      </c>
    </row>
    <row r="59" spans="1:19" ht="15.75" customHeight="1">
      <c r="A59" s="1" t="s">
        <v>366</v>
      </c>
      <c r="B59" s="1" t="s">
        <v>367</v>
      </c>
      <c r="C59" s="1">
        <v>2020</v>
      </c>
      <c r="D59" s="1" t="s">
        <v>368</v>
      </c>
      <c r="E59" s="1">
        <v>12</v>
      </c>
      <c r="F59" s="1">
        <v>5</v>
      </c>
      <c r="G59" s="1">
        <v>1719</v>
      </c>
      <c r="J59" s="1">
        <v>295</v>
      </c>
      <c r="K59" s="1" t="s">
        <v>369</v>
      </c>
      <c r="L59" s="1" t="s">
        <v>370</v>
      </c>
      <c r="M59" s="1" t="s">
        <v>24</v>
      </c>
      <c r="N59" s="1" t="s">
        <v>25</v>
      </c>
      <c r="O59" s="1" t="s">
        <v>26</v>
      </c>
      <c r="P59" s="1" t="s">
        <v>27</v>
      </c>
      <c r="Q59" s="1" t="s">
        <v>371</v>
      </c>
      <c r="R59" s="1" t="b">
        <f>COUNTIF(  Papers!G:G, RAW_DATA!Q59 ) = 0</f>
        <v>0</v>
      </c>
      <c r="S59" s="1" t="b">
        <f t="shared" si="0"/>
        <v>0</v>
      </c>
    </row>
    <row r="60" spans="1:19" ht="15.75" customHeight="1">
      <c r="A60" s="1" t="s">
        <v>372</v>
      </c>
      <c r="B60" s="1" t="s">
        <v>373</v>
      </c>
      <c r="C60" s="1">
        <v>2023</v>
      </c>
      <c r="D60" s="1" t="s">
        <v>374</v>
      </c>
      <c r="E60" s="1">
        <v>23</v>
      </c>
      <c r="F60" s="1">
        <v>1</v>
      </c>
      <c r="G60" s="1">
        <v>7</v>
      </c>
      <c r="J60" s="1">
        <v>351</v>
      </c>
      <c r="K60" s="1" t="s">
        <v>375</v>
      </c>
      <c r="L60" s="1" t="s">
        <v>376</v>
      </c>
      <c r="M60" s="1" t="s">
        <v>54</v>
      </c>
      <c r="N60" s="1" t="s">
        <v>25</v>
      </c>
      <c r="O60" s="1" t="s">
        <v>26</v>
      </c>
      <c r="P60" s="1" t="s">
        <v>27</v>
      </c>
      <c r="Q60" s="1" t="s">
        <v>377</v>
      </c>
      <c r="R60" s="1" t="b">
        <f>COUNTIF(  Papers!G:G, RAW_DATA!Q60 ) = 0</f>
        <v>0</v>
      </c>
      <c r="S60" s="1" t="b">
        <f t="shared" si="0"/>
        <v>0</v>
      </c>
    </row>
    <row r="61" spans="1:19" ht="15.75" customHeight="1">
      <c r="A61" s="1" t="s">
        <v>378</v>
      </c>
      <c r="B61" s="1" t="s">
        <v>379</v>
      </c>
      <c r="C61" s="1">
        <v>2023</v>
      </c>
      <c r="D61" s="1" t="s">
        <v>380</v>
      </c>
      <c r="E61" s="1">
        <v>124</v>
      </c>
      <c r="G61" s="1">
        <v>102747</v>
      </c>
      <c r="J61" s="1">
        <v>289</v>
      </c>
      <c r="K61" s="1" t="s">
        <v>381</v>
      </c>
      <c r="L61" s="1" t="s">
        <v>382</v>
      </c>
      <c r="M61" s="1" t="s">
        <v>54</v>
      </c>
      <c r="N61" s="1" t="s">
        <v>25</v>
      </c>
      <c r="O61" s="1" t="s">
        <v>100</v>
      </c>
      <c r="P61" s="1" t="s">
        <v>27</v>
      </c>
      <c r="Q61" s="1" t="s">
        <v>383</v>
      </c>
      <c r="R61" s="1" t="b">
        <f>COUNTIF(  Papers!G:G, RAW_DATA!Q61 ) = 0</f>
        <v>0</v>
      </c>
      <c r="S61" s="1" t="b">
        <f t="shared" si="0"/>
        <v>0</v>
      </c>
    </row>
    <row r="62" spans="1:19" ht="15.75" customHeight="1">
      <c r="A62" s="1" t="s">
        <v>384</v>
      </c>
      <c r="B62" s="1" t="s">
        <v>385</v>
      </c>
      <c r="C62" s="1">
        <v>2021</v>
      </c>
      <c r="D62" s="1" t="s">
        <v>386</v>
      </c>
      <c r="E62" s="1">
        <v>8</v>
      </c>
      <c r="F62" s="1">
        <v>2</v>
      </c>
      <c r="J62" s="1">
        <v>317</v>
      </c>
      <c r="K62" s="1" t="s">
        <v>387</v>
      </c>
      <c r="L62" s="1" t="s">
        <v>388</v>
      </c>
      <c r="M62" s="1" t="s">
        <v>54</v>
      </c>
      <c r="N62" s="1" t="s">
        <v>25</v>
      </c>
      <c r="O62" s="1" t="s">
        <v>26</v>
      </c>
      <c r="P62" s="1" t="s">
        <v>27</v>
      </c>
      <c r="Q62" s="1" t="s">
        <v>389</v>
      </c>
      <c r="R62" s="1" t="b">
        <f>COUNTIF(  Papers!G:G, RAW_DATA!Q62 ) = 0</f>
        <v>0</v>
      </c>
      <c r="S62" s="1" t="b">
        <f t="shared" si="0"/>
        <v>0</v>
      </c>
    </row>
    <row r="63" spans="1:19" ht="15.75" customHeight="1">
      <c r="A63" s="1" t="s">
        <v>390</v>
      </c>
      <c r="B63" s="1" t="s">
        <v>391</v>
      </c>
      <c r="C63" s="1">
        <v>2021</v>
      </c>
      <c r="D63" s="1" t="s">
        <v>130</v>
      </c>
      <c r="E63" s="1">
        <v>131</v>
      </c>
      <c r="H63" s="1">
        <v>591</v>
      </c>
      <c r="I63" s="1">
        <v>597</v>
      </c>
      <c r="J63" s="1">
        <v>271</v>
      </c>
      <c r="K63" s="1" t="s">
        <v>392</v>
      </c>
      <c r="L63" s="1" t="s">
        <v>393</v>
      </c>
      <c r="M63" s="1" t="s">
        <v>54</v>
      </c>
      <c r="N63" s="1" t="s">
        <v>25</v>
      </c>
      <c r="O63" s="1" t="s">
        <v>120</v>
      </c>
      <c r="P63" s="1" t="s">
        <v>27</v>
      </c>
      <c r="Q63" s="1" t="s">
        <v>394</v>
      </c>
      <c r="R63" s="1" t="b">
        <f>COUNTIF(  Papers!G:G, RAW_DATA!Q63 ) = 0</f>
        <v>0</v>
      </c>
      <c r="S63" s="1" t="b">
        <f t="shared" si="0"/>
        <v>0</v>
      </c>
    </row>
    <row r="64" spans="1:19" ht="15.75" customHeight="1">
      <c r="A64" s="1" t="s">
        <v>395</v>
      </c>
      <c r="B64" s="1" t="s">
        <v>396</v>
      </c>
      <c r="C64" s="1">
        <v>2021</v>
      </c>
      <c r="D64" s="1" t="s">
        <v>397</v>
      </c>
      <c r="G64" s="1">
        <v>3483305</v>
      </c>
      <c r="J64" s="1">
        <v>332</v>
      </c>
      <c r="K64" s="1" t="s">
        <v>398</v>
      </c>
      <c r="L64" s="1" t="s">
        <v>399</v>
      </c>
      <c r="M64" s="1" t="s">
        <v>169</v>
      </c>
      <c r="N64" s="1" t="s">
        <v>25</v>
      </c>
      <c r="O64" s="1" t="s">
        <v>26</v>
      </c>
      <c r="P64" s="1" t="s">
        <v>27</v>
      </c>
      <c r="Q64" s="1" t="s">
        <v>400</v>
      </c>
      <c r="R64" s="1" t="b">
        <f>COUNTIF(  Papers!G:G, RAW_DATA!Q64 ) = 0</f>
        <v>0</v>
      </c>
      <c r="S64" s="1" t="b">
        <f t="shared" si="0"/>
        <v>0</v>
      </c>
    </row>
    <row r="65" spans="1:19" ht="15.75" customHeight="1">
      <c r="A65" s="1" t="s">
        <v>401</v>
      </c>
      <c r="B65" s="1" t="s">
        <v>402</v>
      </c>
      <c r="C65" s="1">
        <v>2020</v>
      </c>
      <c r="D65" s="1" t="s">
        <v>403</v>
      </c>
      <c r="E65" s="1">
        <v>12</v>
      </c>
      <c r="F65" s="1">
        <v>2</v>
      </c>
      <c r="H65" s="1">
        <v>459</v>
      </c>
      <c r="I65" s="1">
        <v>478</v>
      </c>
      <c r="J65" s="1">
        <v>362</v>
      </c>
      <c r="K65" s="1" t="s">
        <v>404</v>
      </c>
      <c r="L65" s="1" t="s">
        <v>405</v>
      </c>
      <c r="M65" s="1" t="s">
        <v>54</v>
      </c>
      <c r="N65" s="1" t="s">
        <v>25</v>
      </c>
      <c r="P65" s="1" t="s">
        <v>27</v>
      </c>
      <c r="Q65" s="1" t="s">
        <v>406</v>
      </c>
      <c r="R65" s="1" t="b">
        <f>COUNTIF(  Papers!G:G, RAW_DATA!Q65 ) = 0</f>
        <v>0</v>
      </c>
      <c r="S65" s="1" t="b">
        <f t="shared" si="0"/>
        <v>0</v>
      </c>
    </row>
    <row r="66" spans="1:19" ht="15.75" customHeight="1">
      <c r="A66" s="1" t="s">
        <v>407</v>
      </c>
      <c r="B66" s="1" t="s">
        <v>408</v>
      </c>
      <c r="C66" s="1">
        <v>2020</v>
      </c>
      <c r="D66" s="1" t="s">
        <v>65</v>
      </c>
      <c r="E66" s="1">
        <v>81</v>
      </c>
      <c r="G66" s="1">
        <v>102888</v>
      </c>
      <c r="J66" s="1">
        <v>255</v>
      </c>
      <c r="K66" s="1" t="s">
        <v>409</v>
      </c>
      <c r="L66" s="1" t="s">
        <v>410</v>
      </c>
      <c r="M66" s="1" t="s">
        <v>54</v>
      </c>
      <c r="N66" s="1" t="s">
        <v>25</v>
      </c>
      <c r="P66" s="1" t="s">
        <v>27</v>
      </c>
      <c r="Q66" s="1" t="s">
        <v>411</v>
      </c>
      <c r="R66" s="1" t="b">
        <f>COUNTIF(  Papers!G:G, RAW_DATA!Q66 ) = 0</f>
        <v>0</v>
      </c>
      <c r="S66" s="1" t="b">
        <f t="shared" si="0"/>
        <v>0</v>
      </c>
    </row>
    <row r="67" spans="1:19" ht="15.75" customHeight="1">
      <c r="A67" s="1" t="s">
        <v>412</v>
      </c>
      <c r="B67" s="1" t="s">
        <v>413</v>
      </c>
      <c r="C67" s="1">
        <v>2020</v>
      </c>
      <c r="D67" s="1" t="s">
        <v>350</v>
      </c>
      <c r="H67" s="1">
        <v>295</v>
      </c>
      <c r="I67" s="1">
        <v>305</v>
      </c>
      <c r="J67" s="1">
        <v>689</v>
      </c>
      <c r="K67" s="1" t="s">
        <v>414</v>
      </c>
      <c r="L67" s="1" t="s">
        <v>415</v>
      </c>
      <c r="M67" s="1" t="s">
        <v>169</v>
      </c>
      <c r="N67" s="1" t="s">
        <v>25</v>
      </c>
      <c r="O67" s="1" t="s">
        <v>113</v>
      </c>
      <c r="P67" s="1" t="s">
        <v>27</v>
      </c>
      <c r="Q67" s="1" t="s">
        <v>416</v>
      </c>
      <c r="R67" s="1" t="b">
        <f>COUNTIF(  Papers!G:G, RAW_DATA!Q67 ) = 0</f>
        <v>0</v>
      </c>
      <c r="S67" s="1" t="b">
        <f t="shared" si="0"/>
        <v>0</v>
      </c>
    </row>
    <row r="68" spans="1:19" ht="15.75" customHeight="1">
      <c r="A68" s="1" t="s">
        <v>417</v>
      </c>
      <c r="B68" s="1" t="s">
        <v>418</v>
      </c>
      <c r="C68" s="1">
        <v>2021</v>
      </c>
      <c r="D68" s="1" t="s">
        <v>189</v>
      </c>
      <c r="E68" s="1">
        <v>114</v>
      </c>
      <c r="G68" s="1">
        <v>106548</v>
      </c>
      <c r="J68" s="1">
        <v>617</v>
      </c>
      <c r="K68" s="1" t="s">
        <v>419</v>
      </c>
      <c r="L68" s="1" t="s">
        <v>420</v>
      </c>
      <c r="M68" s="1" t="s">
        <v>54</v>
      </c>
      <c r="N68" s="1" t="s">
        <v>25</v>
      </c>
      <c r="O68" s="1" t="s">
        <v>113</v>
      </c>
      <c r="P68" s="1" t="s">
        <v>27</v>
      </c>
      <c r="Q68" s="1" t="s">
        <v>421</v>
      </c>
      <c r="R68" s="1" t="b">
        <f>COUNTIF(  Papers!G:G, RAW_DATA!Q68 ) = 0</f>
        <v>0</v>
      </c>
      <c r="S68" s="1" t="b">
        <f t="shared" si="0"/>
        <v>0</v>
      </c>
    </row>
    <row r="69" spans="1:19" ht="15.75" customHeight="1">
      <c r="A69" s="1" t="s">
        <v>422</v>
      </c>
      <c r="B69" s="1" t="s">
        <v>423</v>
      </c>
      <c r="C69" s="1">
        <v>2020</v>
      </c>
      <c r="D69" s="1" t="s">
        <v>424</v>
      </c>
      <c r="E69" s="1">
        <v>31</v>
      </c>
      <c r="F69" s="1">
        <v>2</v>
      </c>
      <c r="H69" s="1">
        <v>74</v>
      </c>
      <c r="I69" s="1">
        <v>87</v>
      </c>
      <c r="J69" s="1">
        <v>449</v>
      </c>
      <c r="K69" s="1" t="s">
        <v>425</v>
      </c>
      <c r="L69" s="1" t="s">
        <v>426</v>
      </c>
      <c r="M69" s="1" t="s">
        <v>24</v>
      </c>
      <c r="N69" s="1" t="s">
        <v>25</v>
      </c>
      <c r="P69" s="1" t="s">
        <v>27</v>
      </c>
      <c r="Q69" s="1" t="s">
        <v>427</v>
      </c>
      <c r="R69" s="1" t="b">
        <f>COUNTIF(  Papers!G:G, RAW_DATA!Q69 ) = 0</f>
        <v>0</v>
      </c>
      <c r="S69" s="1" t="b">
        <f t="shared" si="0"/>
        <v>0</v>
      </c>
    </row>
    <row r="70" spans="1:19" ht="15.75" customHeight="1">
      <c r="A70" s="1" t="s">
        <v>428</v>
      </c>
      <c r="B70" s="1" t="s">
        <v>429</v>
      </c>
      <c r="C70" s="1">
        <v>2024</v>
      </c>
      <c r="D70" s="1" t="s">
        <v>430</v>
      </c>
      <c r="E70" s="1">
        <v>240</v>
      </c>
      <c r="G70" s="1">
        <v>122442</v>
      </c>
      <c r="J70" s="1">
        <v>290</v>
      </c>
      <c r="K70" s="1" t="s">
        <v>431</v>
      </c>
      <c r="L70" s="1" t="s">
        <v>432</v>
      </c>
      <c r="M70" s="1" t="s">
        <v>24</v>
      </c>
      <c r="N70" s="1" t="s">
        <v>25</v>
      </c>
      <c r="P70" s="1" t="s">
        <v>27</v>
      </c>
      <c r="Q70" s="1" t="s">
        <v>433</v>
      </c>
      <c r="R70" s="1" t="b">
        <f>COUNTIF(  Papers!G:G, RAW_DATA!Q70 ) = 0</f>
        <v>0</v>
      </c>
      <c r="S70" s="1" t="b">
        <f t="shared" si="0"/>
        <v>0</v>
      </c>
    </row>
    <row r="71" spans="1:19" ht="15.75" customHeight="1">
      <c r="A71" s="1" t="s">
        <v>434</v>
      </c>
      <c r="B71" s="1" t="s">
        <v>435</v>
      </c>
      <c r="C71" s="1">
        <v>2023</v>
      </c>
      <c r="D71" s="1" t="s">
        <v>436</v>
      </c>
      <c r="E71" s="1">
        <v>7</v>
      </c>
      <c r="F71" s="1" t="s">
        <v>437</v>
      </c>
      <c r="G71" s="1">
        <v>129</v>
      </c>
      <c r="J71" s="1">
        <v>244</v>
      </c>
      <c r="K71" s="1" t="s">
        <v>438</v>
      </c>
      <c r="L71" s="1" t="s">
        <v>439</v>
      </c>
      <c r="M71" s="1" t="s">
        <v>54</v>
      </c>
      <c r="N71" s="1" t="s">
        <v>25</v>
      </c>
      <c r="P71" s="1" t="s">
        <v>27</v>
      </c>
      <c r="Q71" s="1" t="s">
        <v>440</v>
      </c>
      <c r="R71" s="1" t="b">
        <f>COUNTIF(  Papers!G:G, RAW_DATA!Q71 ) = 0</f>
        <v>0</v>
      </c>
      <c r="S71" s="1" t="b">
        <f t="shared" si="0"/>
        <v>0</v>
      </c>
    </row>
    <row r="72" spans="1:19" ht="15.75" customHeight="1">
      <c r="A72" s="1" t="s">
        <v>441</v>
      </c>
      <c r="B72" s="1" t="s">
        <v>442</v>
      </c>
      <c r="C72" s="1">
        <v>2020</v>
      </c>
      <c r="D72" s="1" t="s">
        <v>443</v>
      </c>
      <c r="H72" s="1">
        <v>454</v>
      </c>
      <c r="I72" s="1">
        <v>464</v>
      </c>
      <c r="J72" s="1">
        <v>262</v>
      </c>
      <c r="K72" s="1" t="s">
        <v>444</v>
      </c>
      <c r="L72" s="1" t="s">
        <v>445</v>
      </c>
      <c r="M72" s="1" t="s">
        <v>169</v>
      </c>
      <c r="N72" s="1" t="s">
        <v>25</v>
      </c>
      <c r="O72" s="1" t="s">
        <v>113</v>
      </c>
      <c r="P72" s="1" t="s">
        <v>27</v>
      </c>
      <c r="Q72" s="1" t="s">
        <v>446</v>
      </c>
      <c r="R72" s="1" t="b">
        <f>COUNTIF(  Papers!G:G, RAW_DATA!Q72 ) = 0</f>
        <v>0</v>
      </c>
      <c r="S72" s="1" t="b">
        <f t="shared" si="0"/>
        <v>0</v>
      </c>
    </row>
    <row r="73" spans="1:19" ht="15.75" customHeight="1">
      <c r="A73" s="1" t="s">
        <v>447</v>
      </c>
      <c r="B73" s="1" t="s">
        <v>448</v>
      </c>
      <c r="C73" s="1">
        <v>2023</v>
      </c>
      <c r="D73" s="1" t="s">
        <v>449</v>
      </c>
      <c r="E73" s="1">
        <v>263</v>
      </c>
      <c r="G73" s="1">
        <v>110273</v>
      </c>
      <c r="J73" s="1">
        <v>648</v>
      </c>
      <c r="K73" s="1" t="s">
        <v>450</v>
      </c>
      <c r="L73" s="1" t="s">
        <v>451</v>
      </c>
      <c r="M73" s="1" t="s">
        <v>54</v>
      </c>
      <c r="N73" s="1" t="s">
        <v>25</v>
      </c>
      <c r="O73" s="1" t="s">
        <v>100</v>
      </c>
      <c r="P73" s="1" t="s">
        <v>27</v>
      </c>
      <c r="Q73" s="1" t="s">
        <v>452</v>
      </c>
      <c r="R73" s="1" t="b">
        <f>COUNTIF(  Papers!G:G, RAW_DATA!Q73 ) = 0</f>
        <v>0</v>
      </c>
      <c r="S73" s="1" t="b">
        <f t="shared" si="0"/>
        <v>0</v>
      </c>
    </row>
    <row r="74" spans="1:19" ht="15.75" customHeight="1">
      <c r="A74" s="1" t="s">
        <v>453</v>
      </c>
      <c r="B74" s="1" t="s">
        <v>454</v>
      </c>
      <c r="C74" s="1">
        <v>2022</v>
      </c>
      <c r="D74" s="1" t="s">
        <v>455</v>
      </c>
      <c r="E74" s="1">
        <v>39</v>
      </c>
      <c r="F74" s="1">
        <v>4</v>
      </c>
      <c r="H74" s="1">
        <v>755</v>
      </c>
      <c r="I74" s="1">
        <v>776</v>
      </c>
      <c r="J74" s="1">
        <v>477</v>
      </c>
      <c r="K74" s="1" t="s">
        <v>456</v>
      </c>
      <c r="L74" s="1" t="s">
        <v>457</v>
      </c>
      <c r="M74" s="1" t="s">
        <v>24</v>
      </c>
      <c r="N74" s="1" t="s">
        <v>25</v>
      </c>
      <c r="O74" s="1" t="s">
        <v>100</v>
      </c>
      <c r="P74" s="1" t="s">
        <v>27</v>
      </c>
      <c r="Q74" s="1" t="s">
        <v>458</v>
      </c>
      <c r="R74" s="1" t="b">
        <f>COUNTIF(  Papers!G:G, RAW_DATA!Q74 ) = 0</f>
        <v>0</v>
      </c>
      <c r="S74" s="1" t="b">
        <f t="shared" si="0"/>
        <v>0</v>
      </c>
    </row>
    <row r="75" spans="1:19" ht="15.75" customHeight="1">
      <c r="A75" s="1" t="s">
        <v>459</v>
      </c>
      <c r="B75" s="1" t="s">
        <v>460</v>
      </c>
      <c r="C75" s="1">
        <v>2018</v>
      </c>
      <c r="D75" s="1" t="s">
        <v>386</v>
      </c>
      <c r="E75" s="1">
        <v>5</v>
      </c>
      <c r="F75" s="1">
        <v>1</v>
      </c>
      <c r="J75" s="1">
        <v>1017</v>
      </c>
      <c r="K75" s="1" t="s">
        <v>461</v>
      </c>
      <c r="L75" s="1" t="s">
        <v>462</v>
      </c>
      <c r="M75" s="1" t="s">
        <v>54</v>
      </c>
      <c r="N75" s="1" t="s">
        <v>25</v>
      </c>
      <c r="O75" s="1" t="s">
        <v>26</v>
      </c>
      <c r="P75" s="1" t="s">
        <v>27</v>
      </c>
      <c r="Q75" s="1" t="s">
        <v>463</v>
      </c>
      <c r="R75" s="1" t="b">
        <f>COUNTIF(  Papers!G:G, RAW_DATA!Q75 ) = 0</f>
        <v>0</v>
      </c>
      <c r="S75" s="1" t="b">
        <f t="shared" si="0"/>
        <v>0</v>
      </c>
    </row>
    <row r="76" spans="1:19" ht="15.75" customHeight="1">
      <c r="A76" s="1" t="s">
        <v>464</v>
      </c>
      <c r="B76" s="1" t="s">
        <v>465</v>
      </c>
      <c r="C76" s="1">
        <v>2025</v>
      </c>
      <c r="D76" s="1" t="s">
        <v>466</v>
      </c>
      <c r="E76" s="1">
        <v>42</v>
      </c>
      <c r="F76" s="1">
        <v>1</v>
      </c>
      <c r="H76" s="1">
        <v>76</v>
      </c>
      <c r="I76" s="1">
        <v>111</v>
      </c>
      <c r="J76" s="1">
        <v>225</v>
      </c>
      <c r="K76" s="1" t="s">
        <v>467</v>
      </c>
      <c r="L76" s="1" t="s">
        <v>468</v>
      </c>
      <c r="M76" s="1" t="s">
        <v>54</v>
      </c>
      <c r="N76" s="1" t="s">
        <v>25</v>
      </c>
      <c r="O76" s="1" t="s">
        <v>113</v>
      </c>
      <c r="P76" s="1" t="s">
        <v>27</v>
      </c>
      <c r="Q76" s="1" t="s">
        <v>469</v>
      </c>
      <c r="R76" s="1" t="b">
        <f>COUNTIF(  Papers!G:G, RAW_DATA!Q76 ) = 0</f>
        <v>0</v>
      </c>
      <c r="S76" s="1" t="b">
        <f t="shared" si="0"/>
        <v>0</v>
      </c>
    </row>
    <row r="77" spans="1:19" ht="15.75" customHeight="1">
      <c r="A77" s="1" t="s">
        <v>470</v>
      </c>
      <c r="B77" s="1" t="s">
        <v>471</v>
      </c>
      <c r="C77" s="1">
        <v>2023</v>
      </c>
      <c r="D77" s="1" t="s">
        <v>77</v>
      </c>
      <c r="E77" s="1">
        <v>25</v>
      </c>
      <c r="G77" s="1" t="s">
        <v>472</v>
      </c>
      <c r="J77" s="1">
        <v>344</v>
      </c>
      <c r="K77" s="1" t="s">
        <v>473</v>
      </c>
      <c r="L77" s="1" t="s">
        <v>474</v>
      </c>
      <c r="M77" s="1" t="s">
        <v>54</v>
      </c>
      <c r="N77" s="1" t="s">
        <v>25</v>
      </c>
      <c r="O77" s="1" t="s">
        <v>26</v>
      </c>
      <c r="P77" s="1" t="s">
        <v>27</v>
      </c>
      <c r="Q77" s="1" t="s">
        <v>475</v>
      </c>
      <c r="R77" s="1" t="b">
        <f>COUNTIF(  Papers!G:G, RAW_DATA!Q77 ) = 0</f>
        <v>0</v>
      </c>
      <c r="S77" s="1" t="b">
        <f t="shared" si="0"/>
        <v>0</v>
      </c>
    </row>
    <row r="78" spans="1:19" ht="15.75" customHeight="1">
      <c r="A78" s="1" t="s">
        <v>476</v>
      </c>
      <c r="B78" s="1" t="s">
        <v>477</v>
      </c>
      <c r="C78" s="1">
        <v>2020</v>
      </c>
      <c r="D78" s="1" t="s">
        <v>478</v>
      </c>
      <c r="E78" s="1">
        <v>37</v>
      </c>
      <c r="F78" s="1">
        <v>4</v>
      </c>
      <c r="G78" s="1">
        <v>101490</v>
      </c>
      <c r="J78" s="1">
        <v>286</v>
      </c>
      <c r="K78" s="1" t="s">
        <v>479</v>
      </c>
      <c r="L78" s="1" t="s">
        <v>480</v>
      </c>
      <c r="M78" s="1" t="s">
        <v>54</v>
      </c>
      <c r="N78" s="1" t="s">
        <v>25</v>
      </c>
      <c r="P78" s="1" t="s">
        <v>27</v>
      </c>
      <c r="Q78" s="1" t="s">
        <v>481</v>
      </c>
      <c r="R78" s="1" t="b">
        <f>COUNTIF(  Papers!G:G, RAW_DATA!Q78 ) = 0</f>
        <v>0</v>
      </c>
      <c r="S78" s="1" t="b">
        <f t="shared" si="0"/>
        <v>0</v>
      </c>
    </row>
    <row r="79" spans="1:19" ht="15.75" customHeight="1">
      <c r="A79" s="1" t="s">
        <v>482</v>
      </c>
      <c r="B79" s="1" t="s">
        <v>483</v>
      </c>
      <c r="C79" s="1">
        <v>2021</v>
      </c>
      <c r="D79" s="1" t="s">
        <v>436</v>
      </c>
      <c r="E79" s="1">
        <v>5</v>
      </c>
      <c r="F79" s="1" t="s">
        <v>437</v>
      </c>
      <c r="G79" s="1">
        <v>188</v>
      </c>
      <c r="J79" s="1">
        <v>682</v>
      </c>
      <c r="K79" s="1" t="s">
        <v>484</v>
      </c>
      <c r="L79" s="1" t="s">
        <v>485</v>
      </c>
      <c r="M79" s="1" t="s">
        <v>54</v>
      </c>
      <c r="N79" s="1" t="s">
        <v>25</v>
      </c>
      <c r="O79" s="1" t="s">
        <v>113</v>
      </c>
      <c r="P79" s="1" t="s">
        <v>27</v>
      </c>
      <c r="Q79" s="1" t="s">
        <v>486</v>
      </c>
      <c r="R79" s="1" t="b">
        <f>COUNTIF(  Papers!G:G, RAW_DATA!Q79 ) = 0</f>
        <v>0</v>
      </c>
      <c r="S79" s="1" t="b">
        <f t="shared" si="0"/>
        <v>0</v>
      </c>
    </row>
    <row r="80" spans="1:19" ht="15.75" customHeight="1">
      <c r="A80" s="1" t="s">
        <v>487</v>
      </c>
      <c r="B80" s="1" t="s">
        <v>488</v>
      </c>
      <c r="C80" s="1">
        <v>2020</v>
      </c>
      <c r="D80" s="1" t="s">
        <v>489</v>
      </c>
      <c r="E80" s="1">
        <v>26</v>
      </c>
      <c r="F80" s="1">
        <v>1</v>
      </c>
      <c r="G80" s="1">
        <v>8807299</v>
      </c>
      <c r="H80" s="1">
        <v>1064</v>
      </c>
      <c r="I80" s="1">
        <v>1074</v>
      </c>
      <c r="J80" s="1">
        <v>246</v>
      </c>
      <c r="K80" s="1" t="s">
        <v>490</v>
      </c>
      <c r="L80" s="1" t="s">
        <v>491</v>
      </c>
      <c r="M80" s="1" t="s">
        <v>54</v>
      </c>
      <c r="N80" s="1" t="s">
        <v>25</v>
      </c>
      <c r="O80" s="1" t="s">
        <v>113</v>
      </c>
      <c r="P80" s="1" t="s">
        <v>27</v>
      </c>
      <c r="Q80" s="1" t="s">
        <v>492</v>
      </c>
      <c r="R80" s="1" t="b">
        <f>COUNTIF(  Papers!G:G, RAW_DATA!Q80 ) = 0</f>
        <v>0</v>
      </c>
      <c r="S80" s="1" t="b">
        <f t="shared" si="0"/>
        <v>0</v>
      </c>
    </row>
    <row r="81" spans="1:19" ht="15.75" customHeight="1">
      <c r="A81" s="1" t="s">
        <v>493</v>
      </c>
      <c r="B81" s="1" t="s">
        <v>494</v>
      </c>
      <c r="C81" s="1">
        <v>2021</v>
      </c>
      <c r="D81" s="1" t="s">
        <v>495</v>
      </c>
      <c r="E81" s="1">
        <v>14</v>
      </c>
      <c r="F81" s="3">
        <v>46024</v>
      </c>
      <c r="H81" s="1">
        <v>1</v>
      </c>
      <c r="I81" s="1">
        <v>35</v>
      </c>
      <c r="J81" s="1">
        <v>368</v>
      </c>
      <c r="K81" s="1" t="s">
        <v>496</v>
      </c>
      <c r="L81" s="1" t="s">
        <v>497</v>
      </c>
      <c r="M81" s="1" t="s">
        <v>54</v>
      </c>
      <c r="N81" s="1" t="s">
        <v>25</v>
      </c>
      <c r="O81" s="1" t="s">
        <v>113</v>
      </c>
      <c r="P81" s="1" t="s">
        <v>27</v>
      </c>
      <c r="Q81" s="1" t="s">
        <v>498</v>
      </c>
      <c r="R81" s="1" t="b">
        <f>COUNTIF(  Papers!G:G, RAW_DATA!Q81 ) = 0</f>
        <v>0</v>
      </c>
      <c r="S81" s="1" t="b">
        <f t="shared" si="0"/>
        <v>0</v>
      </c>
    </row>
    <row r="82" spans="1:19" ht="15.75" customHeight="1">
      <c r="A82" s="1" t="s">
        <v>499</v>
      </c>
      <c r="B82" s="1" t="s">
        <v>500</v>
      </c>
      <c r="C82" s="1">
        <v>2019</v>
      </c>
      <c r="D82" s="1" t="s">
        <v>501</v>
      </c>
      <c r="H82" s="1">
        <v>29</v>
      </c>
      <c r="I82" s="1">
        <v>38</v>
      </c>
      <c r="J82" s="1">
        <v>341</v>
      </c>
      <c r="K82" s="1" t="s">
        <v>502</v>
      </c>
      <c r="L82" s="1" t="s">
        <v>503</v>
      </c>
      <c r="M82" s="1" t="s">
        <v>169</v>
      </c>
      <c r="N82" s="1" t="s">
        <v>25</v>
      </c>
      <c r="O82" s="1" t="s">
        <v>113</v>
      </c>
      <c r="P82" s="1" t="s">
        <v>27</v>
      </c>
      <c r="Q82" s="1" t="s">
        <v>504</v>
      </c>
      <c r="R82" s="1" t="b">
        <f>COUNTIF(  Papers!G:G, RAW_DATA!Q82 ) = 0</f>
        <v>0</v>
      </c>
      <c r="S82" s="1" t="b">
        <f t="shared" si="0"/>
        <v>0</v>
      </c>
    </row>
    <row r="83" spans="1:19" ht="15.75" customHeight="1">
      <c r="A83" s="1" t="s">
        <v>505</v>
      </c>
      <c r="B83" s="1" t="s">
        <v>506</v>
      </c>
      <c r="C83" s="1">
        <v>2020</v>
      </c>
      <c r="D83" s="1" t="s">
        <v>507</v>
      </c>
      <c r="E83" s="1">
        <v>1</v>
      </c>
      <c r="G83" s="1">
        <v>100014</v>
      </c>
      <c r="J83" s="1">
        <v>476</v>
      </c>
      <c r="K83" s="1" t="s">
        <v>508</v>
      </c>
      <c r="L83" s="1" t="s">
        <v>509</v>
      </c>
      <c r="M83" s="1" t="s">
        <v>54</v>
      </c>
      <c r="N83" s="1" t="s">
        <v>25</v>
      </c>
      <c r="O83" s="1" t="s">
        <v>26</v>
      </c>
      <c r="P83" s="1" t="s">
        <v>27</v>
      </c>
      <c r="Q83" s="1" t="s">
        <v>510</v>
      </c>
      <c r="R83" s="1" t="b">
        <f>COUNTIF(  Papers!G:G, RAW_DATA!Q83 ) = 0</f>
        <v>0</v>
      </c>
      <c r="S83" s="1" t="b">
        <f t="shared" si="0"/>
        <v>0</v>
      </c>
    </row>
    <row r="84" spans="1:19" ht="15.75" customHeight="1">
      <c r="A84" s="1" t="s">
        <v>511</v>
      </c>
      <c r="B84" s="1" t="s">
        <v>512</v>
      </c>
      <c r="C84" s="1">
        <v>2018</v>
      </c>
      <c r="D84" s="1" t="s">
        <v>513</v>
      </c>
      <c r="E84" s="1">
        <v>61</v>
      </c>
      <c r="F84" s="1">
        <v>10</v>
      </c>
      <c r="H84" s="1">
        <v>1409</v>
      </c>
      <c r="I84" s="1">
        <v>1427</v>
      </c>
      <c r="J84" s="1">
        <v>329</v>
      </c>
      <c r="K84" s="1" t="s">
        <v>514</v>
      </c>
      <c r="L84" s="1" t="s">
        <v>515</v>
      </c>
      <c r="M84" s="1" t="s">
        <v>54</v>
      </c>
      <c r="N84" s="1" t="s">
        <v>25</v>
      </c>
      <c r="P84" s="1" t="s">
        <v>27</v>
      </c>
      <c r="Q84" s="1" t="s">
        <v>516</v>
      </c>
      <c r="R84" s="1" t="b">
        <f>COUNTIF(  Papers!G:G, RAW_DATA!Q84 ) = 0</f>
        <v>0</v>
      </c>
      <c r="S84" s="1" t="b">
        <f t="shared" si="0"/>
        <v>0</v>
      </c>
    </row>
    <row r="85" spans="1:19" ht="15.75" customHeight="1">
      <c r="A85" s="1" t="s">
        <v>517</v>
      </c>
      <c r="B85" s="1" t="s">
        <v>518</v>
      </c>
      <c r="C85" s="1">
        <v>2023</v>
      </c>
      <c r="D85" s="1" t="s">
        <v>84</v>
      </c>
      <c r="E85" s="1">
        <v>65</v>
      </c>
      <c r="F85" s="1">
        <v>2</v>
      </c>
      <c r="H85" s="1">
        <v>337</v>
      </c>
      <c r="I85" s="1">
        <v>359</v>
      </c>
      <c r="J85" s="1">
        <v>291</v>
      </c>
      <c r="K85" s="1" t="s">
        <v>519</v>
      </c>
      <c r="L85" s="1" t="s">
        <v>520</v>
      </c>
      <c r="M85" s="1" t="s">
        <v>54</v>
      </c>
      <c r="N85" s="1" t="s">
        <v>25</v>
      </c>
      <c r="O85" s="1" t="s">
        <v>324</v>
      </c>
      <c r="P85" s="1" t="s">
        <v>27</v>
      </c>
      <c r="Q85" s="1" t="s">
        <v>521</v>
      </c>
      <c r="R85" s="1" t="b">
        <f>COUNTIF(  Papers!G:G, RAW_DATA!Q85 ) = 0</f>
        <v>0</v>
      </c>
      <c r="S85" s="1" t="b">
        <f t="shared" si="0"/>
        <v>0</v>
      </c>
    </row>
    <row r="86" spans="1:19" ht="15.75" customHeight="1">
      <c r="A86" s="1" t="s">
        <v>522</v>
      </c>
      <c r="B86" s="1" t="s">
        <v>523</v>
      </c>
      <c r="C86" s="1">
        <v>2022</v>
      </c>
      <c r="D86" s="1" t="s">
        <v>524</v>
      </c>
      <c r="E86" s="1">
        <v>7</v>
      </c>
      <c r="G86" s="1">
        <v>755914</v>
      </c>
      <c r="J86" s="1">
        <v>221</v>
      </c>
      <c r="K86" s="1" t="s">
        <v>525</v>
      </c>
      <c r="L86" s="1" t="s">
        <v>526</v>
      </c>
      <c r="M86" s="1" t="s">
        <v>54</v>
      </c>
      <c r="N86" s="1" t="s">
        <v>25</v>
      </c>
      <c r="O86" s="1" t="s">
        <v>26</v>
      </c>
      <c r="P86" s="1" t="s">
        <v>27</v>
      </c>
      <c r="Q86" s="1" t="s">
        <v>527</v>
      </c>
      <c r="R86" s="1" t="b">
        <f>COUNTIF(  Papers!G:G, RAW_DATA!Q86 ) = 0</f>
        <v>0</v>
      </c>
      <c r="S86" s="1" t="b">
        <f t="shared" si="0"/>
        <v>0</v>
      </c>
    </row>
    <row r="87" spans="1:19" ht="15.75" customHeight="1">
      <c r="A87" s="1" t="s">
        <v>528</v>
      </c>
      <c r="B87" s="1" t="s">
        <v>529</v>
      </c>
      <c r="C87" s="1">
        <v>2018</v>
      </c>
      <c r="D87" s="1" t="s">
        <v>530</v>
      </c>
      <c r="E87" s="1">
        <v>66</v>
      </c>
      <c r="H87" s="1">
        <v>18</v>
      </c>
      <c r="I87" s="1">
        <v>31</v>
      </c>
      <c r="J87" s="1">
        <v>355</v>
      </c>
      <c r="K87" s="1" t="s">
        <v>531</v>
      </c>
      <c r="L87" s="1" t="s">
        <v>532</v>
      </c>
      <c r="M87" s="1" t="s">
        <v>54</v>
      </c>
      <c r="N87" s="1" t="s">
        <v>25</v>
      </c>
      <c r="P87" s="1" t="s">
        <v>27</v>
      </c>
      <c r="Q87" s="1" t="s">
        <v>533</v>
      </c>
      <c r="R87" s="1" t="b">
        <f>COUNTIF(  Papers!G:G, RAW_DATA!Q87 ) = 0</f>
        <v>0</v>
      </c>
      <c r="S87" s="1" t="b">
        <f t="shared" si="0"/>
        <v>0</v>
      </c>
    </row>
    <row r="88" spans="1:19" ht="15.75" customHeight="1">
      <c r="A88" s="1" t="s">
        <v>534</v>
      </c>
      <c r="B88" s="1" t="s">
        <v>535</v>
      </c>
      <c r="C88" s="1">
        <v>2023</v>
      </c>
      <c r="D88" s="1" t="s">
        <v>189</v>
      </c>
      <c r="E88" s="1">
        <v>138</v>
      </c>
      <c r="G88" s="1">
        <v>107468</v>
      </c>
      <c r="J88" s="1">
        <v>624</v>
      </c>
      <c r="K88" s="1" t="s">
        <v>536</v>
      </c>
      <c r="L88" s="1" t="s">
        <v>537</v>
      </c>
      <c r="M88" s="1" t="s">
        <v>54</v>
      </c>
      <c r="N88" s="1" t="s">
        <v>25</v>
      </c>
      <c r="O88" s="1" t="s">
        <v>100</v>
      </c>
      <c r="P88" s="1" t="s">
        <v>27</v>
      </c>
      <c r="Q88" s="1" t="s">
        <v>538</v>
      </c>
      <c r="R88" s="1" t="b">
        <f>COUNTIF(  Papers!G:G, RAW_DATA!Q88 ) = 0</f>
        <v>0</v>
      </c>
      <c r="S88" s="1" t="b">
        <f t="shared" si="0"/>
        <v>0</v>
      </c>
    </row>
    <row r="89" spans="1:19" ht="15.75" customHeight="1">
      <c r="A89" s="1" t="s">
        <v>539</v>
      </c>
      <c r="B89" s="1" t="s">
        <v>540</v>
      </c>
      <c r="C89" s="1">
        <v>2022</v>
      </c>
      <c r="D89" s="1" t="s">
        <v>541</v>
      </c>
      <c r="E89" s="1">
        <v>33</v>
      </c>
      <c r="F89" s="1">
        <v>1</v>
      </c>
      <c r="H89" s="1">
        <v>126</v>
      </c>
      <c r="I89" s="1">
        <v>148</v>
      </c>
      <c r="J89" s="1">
        <v>406</v>
      </c>
      <c r="K89" s="1" t="s">
        <v>542</v>
      </c>
      <c r="L89" s="1" t="s">
        <v>543</v>
      </c>
      <c r="M89" s="1" t="s">
        <v>24</v>
      </c>
      <c r="N89" s="1" t="s">
        <v>25</v>
      </c>
      <c r="P89" s="1" t="s">
        <v>27</v>
      </c>
      <c r="Q89" s="1" t="s">
        <v>544</v>
      </c>
      <c r="R89" s="1" t="b">
        <f>COUNTIF(  Papers!G:G, RAW_DATA!Q89 ) = 0</f>
        <v>0</v>
      </c>
      <c r="S89" s="1" t="b">
        <f t="shared" si="0"/>
        <v>0</v>
      </c>
    </row>
    <row r="90" spans="1:19" ht="15.75" customHeight="1">
      <c r="A90" s="1" t="s">
        <v>545</v>
      </c>
      <c r="B90" s="1" t="s">
        <v>546</v>
      </c>
      <c r="C90" s="1">
        <v>2021</v>
      </c>
      <c r="D90" s="1" t="s">
        <v>547</v>
      </c>
      <c r="E90" s="1">
        <v>9</v>
      </c>
      <c r="H90" s="1">
        <v>962</v>
      </c>
      <c r="I90" s="1">
        <v>977</v>
      </c>
      <c r="J90" s="1">
        <v>326</v>
      </c>
      <c r="K90" s="1" t="s">
        <v>548</v>
      </c>
      <c r="L90" s="1" t="s">
        <v>549</v>
      </c>
      <c r="M90" s="1" t="s">
        <v>54</v>
      </c>
      <c r="N90" s="1" t="s">
        <v>25</v>
      </c>
      <c r="O90" s="1" t="s">
        <v>26</v>
      </c>
      <c r="P90" s="1" t="s">
        <v>27</v>
      </c>
      <c r="Q90" s="1" t="s">
        <v>550</v>
      </c>
      <c r="R90" s="1" t="b">
        <f>COUNTIF(  Papers!G:G, RAW_DATA!Q90 ) = 0</f>
        <v>0</v>
      </c>
      <c r="S90" s="1" t="b">
        <f t="shared" si="0"/>
        <v>0</v>
      </c>
    </row>
    <row r="91" spans="1:19" ht="15.75" customHeight="1">
      <c r="A91" s="1" t="s">
        <v>551</v>
      </c>
      <c r="B91" s="1" t="s">
        <v>552</v>
      </c>
      <c r="C91" s="1">
        <v>2020</v>
      </c>
      <c r="D91" s="1" t="s">
        <v>130</v>
      </c>
      <c r="E91" s="1">
        <v>120</v>
      </c>
      <c r="H91" s="1">
        <v>262</v>
      </c>
      <c r="I91" s="1">
        <v>273</v>
      </c>
      <c r="J91" s="1">
        <v>577</v>
      </c>
      <c r="K91" s="1" t="s">
        <v>553</v>
      </c>
      <c r="L91" s="1" t="s">
        <v>554</v>
      </c>
      <c r="M91" s="1" t="s">
        <v>54</v>
      </c>
      <c r="N91" s="1" t="s">
        <v>25</v>
      </c>
      <c r="O91" s="1" t="s">
        <v>55</v>
      </c>
      <c r="P91" s="1" t="s">
        <v>27</v>
      </c>
      <c r="Q91" s="1" t="s">
        <v>555</v>
      </c>
      <c r="R91" s="1" t="b">
        <f>COUNTIF(  Papers!G:G, RAW_DATA!Q91 ) = 0</f>
        <v>0</v>
      </c>
      <c r="S91" s="1" t="b">
        <f t="shared" si="0"/>
        <v>0</v>
      </c>
    </row>
    <row r="92" spans="1:19" ht="15.75" customHeight="1">
      <c r="A92" s="1" t="s">
        <v>556</v>
      </c>
      <c r="B92" s="4" t="s">
        <v>557</v>
      </c>
      <c r="C92" s="1">
        <v>2020</v>
      </c>
      <c r="D92" s="1" t="s">
        <v>558</v>
      </c>
      <c r="E92" s="1">
        <v>31</v>
      </c>
      <c r="F92" s="1">
        <v>1</v>
      </c>
      <c r="G92" s="1">
        <v>101377</v>
      </c>
      <c r="J92" s="1">
        <v>278</v>
      </c>
      <c r="K92" s="1" t="s">
        <v>559</v>
      </c>
      <c r="L92" s="1" t="s">
        <v>560</v>
      </c>
      <c r="M92" s="1" t="s">
        <v>54</v>
      </c>
      <c r="N92" s="1" t="s">
        <v>25</v>
      </c>
      <c r="O92" s="1" t="s">
        <v>113</v>
      </c>
      <c r="P92" s="1" t="s">
        <v>27</v>
      </c>
      <c r="Q92" s="1" t="s">
        <v>561</v>
      </c>
      <c r="R92" s="1" t="b">
        <f>COUNTIF(  Papers!G:G, RAW_DATA!Q92 ) = 0</f>
        <v>0</v>
      </c>
      <c r="S92" s="1" t="b">
        <f t="shared" si="0"/>
        <v>0</v>
      </c>
    </row>
    <row r="93" spans="1:19" ht="15.75" customHeight="1">
      <c r="A93" s="1" t="s">
        <v>562</v>
      </c>
      <c r="B93" s="1" t="s">
        <v>563</v>
      </c>
      <c r="C93" s="1">
        <v>2023</v>
      </c>
      <c r="D93" s="1" t="s">
        <v>564</v>
      </c>
      <c r="E93" s="1">
        <v>77</v>
      </c>
      <c r="G93" s="1">
        <v>101925</v>
      </c>
      <c r="J93" s="1">
        <v>756</v>
      </c>
      <c r="K93" s="1" t="s">
        <v>565</v>
      </c>
      <c r="L93" s="1" t="s">
        <v>566</v>
      </c>
      <c r="M93" s="1" t="s">
        <v>54</v>
      </c>
      <c r="N93" s="1" t="s">
        <v>25</v>
      </c>
      <c r="O93" s="1" t="s">
        <v>100</v>
      </c>
      <c r="P93" s="1" t="s">
        <v>27</v>
      </c>
      <c r="Q93" s="1" t="s">
        <v>567</v>
      </c>
      <c r="R93" s="1" t="b">
        <f>COUNTIF(  Papers!G:G, RAW_DATA!Q93 ) = 0</f>
        <v>0</v>
      </c>
      <c r="S93" s="1" t="b">
        <f t="shared" si="0"/>
        <v>0</v>
      </c>
    </row>
    <row r="94" spans="1:19" ht="15.75" customHeight="1">
      <c r="A94" s="1" t="s">
        <v>568</v>
      </c>
      <c r="B94" s="1" t="s">
        <v>569</v>
      </c>
      <c r="C94" s="1">
        <v>2021</v>
      </c>
      <c r="D94" s="1" t="s">
        <v>443</v>
      </c>
      <c r="H94" s="1">
        <v>318</v>
      </c>
      <c r="I94" s="1">
        <v>328</v>
      </c>
      <c r="J94" s="1">
        <v>301</v>
      </c>
      <c r="K94" s="1" t="s">
        <v>570</v>
      </c>
      <c r="L94" s="1" t="s">
        <v>571</v>
      </c>
      <c r="M94" s="1" t="s">
        <v>169</v>
      </c>
      <c r="N94" s="1" t="s">
        <v>25</v>
      </c>
      <c r="O94" s="1" t="s">
        <v>41</v>
      </c>
      <c r="P94" s="1" t="s">
        <v>27</v>
      </c>
      <c r="Q94" s="1" t="s">
        <v>572</v>
      </c>
      <c r="R94" s="1" t="b">
        <f>COUNTIF(  Papers!G:G, RAW_DATA!Q94 ) = 0</f>
        <v>0</v>
      </c>
      <c r="S94" s="1" t="b">
        <f t="shared" si="0"/>
        <v>0</v>
      </c>
    </row>
    <row r="95" spans="1:19" ht="15.75" customHeight="1">
      <c r="A95" s="1" t="s">
        <v>573</v>
      </c>
      <c r="B95" s="1" t="s">
        <v>574</v>
      </c>
      <c r="C95" s="1">
        <v>2019</v>
      </c>
      <c r="D95" s="1" t="s">
        <v>575</v>
      </c>
      <c r="H95" s="1">
        <v>2429</v>
      </c>
      <c r="I95" s="1">
        <v>2437</v>
      </c>
      <c r="J95" s="1">
        <v>266</v>
      </c>
      <c r="K95" s="1" t="s">
        <v>576</v>
      </c>
      <c r="L95" s="1" t="s">
        <v>577</v>
      </c>
      <c r="M95" s="1" t="s">
        <v>169</v>
      </c>
      <c r="N95" s="1" t="s">
        <v>25</v>
      </c>
      <c r="O95" s="1" t="s">
        <v>41</v>
      </c>
      <c r="P95" s="1" t="s">
        <v>27</v>
      </c>
      <c r="Q95" s="1" t="s">
        <v>578</v>
      </c>
      <c r="R95" s="1" t="b">
        <f>COUNTIF(  Papers!G:G, RAW_DATA!Q95 ) = 0</f>
        <v>0</v>
      </c>
      <c r="S95" s="1" t="b">
        <f t="shared" si="0"/>
        <v>0</v>
      </c>
    </row>
    <row r="96" spans="1:19" ht="15.75" customHeight="1">
      <c r="A96" s="1" t="s">
        <v>579</v>
      </c>
      <c r="B96" s="1" t="s">
        <v>580</v>
      </c>
      <c r="C96" s="1">
        <v>2021</v>
      </c>
      <c r="D96" s="1" t="s">
        <v>212</v>
      </c>
      <c r="E96" s="1">
        <v>37</v>
      </c>
      <c r="F96" s="1">
        <v>1</v>
      </c>
      <c r="H96" s="1">
        <v>81</v>
      </c>
      <c r="I96" s="1">
        <v>96</v>
      </c>
      <c r="J96" s="1">
        <v>291</v>
      </c>
      <c r="K96" s="1" t="s">
        <v>581</v>
      </c>
      <c r="L96" s="1" t="s">
        <v>582</v>
      </c>
      <c r="M96" s="1" t="s">
        <v>54</v>
      </c>
      <c r="N96" s="1" t="s">
        <v>25</v>
      </c>
      <c r="O96" s="1" t="s">
        <v>113</v>
      </c>
      <c r="P96" s="1" t="s">
        <v>27</v>
      </c>
      <c r="Q96" s="1" t="s">
        <v>583</v>
      </c>
      <c r="R96" s="1" t="b">
        <f>COUNTIF(  Papers!G:G, RAW_DATA!Q96 ) = 0</f>
        <v>0</v>
      </c>
      <c r="S96" s="1" t="b">
        <f t="shared" si="0"/>
        <v>0</v>
      </c>
    </row>
    <row r="97" spans="1:19" ht="15.75" customHeight="1">
      <c r="A97" s="1" t="s">
        <v>584</v>
      </c>
      <c r="B97" s="1" t="s">
        <v>585</v>
      </c>
      <c r="C97" s="1">
        <v>2024</v>
      </c>
      <c r="D97" s="1" t="s">
        <v>586</v>
      </c>
      <c r="E97" s="1">
        <v>8</v>
      </c>
      <c r="F97" s="1">
        <v>12</v>
      </c>
      <c r="H97" s="1">
        <v>2293</v>
      </c>
      <c r="I97" s="1">
        <v>2303</v>
      </c>
      <c r="J97" s="1">
        <v>237</v>
      </c>
      <c r="K97" s="1" t="s">
        <v>587</v>
      </c>
      <c r="L97" s="1" t="s">
        <v>588</v>
      </c>
      <c r="M97" s="1" t="s">
        <v>54</v>
      </c>
      <c r="N97" s="1" t="s">
        <v>25</v>
      </c>
      <c r="O97" s="1" t="s">
        <v>100</v>
      </c>
      <c r="P97" s="1" t="s">
        <v>27</v>
      </c>
      <c r="Q97" s="1" t="s">
        <v>589</v>
      </c>
      <c r="R97" s="1" t="b">
        <f>COUNTIF(  Papers!G:G, RAW_DATA!Q97 ) = 0</f>
        <v>0</v>
      </c>
      <c r="S97" s="1" t="b">
        <f t="shared" si="0"/>
        <v>0</v>
      </c>
    </row>
    <row r="98" spans="1:19" ht="15.75" customHeight="1">
      <c r="A98" s="1" t="s">
        <v>590</v>
      </c>
      <c r="B98" s="1" t="s">
        <v>591</v>
      </c>
      <c r="C98" s="1">
        <v>2023</v>
      </c>
      <c r="D98" s="1" t="s">
        <v>592</v>
      </c>
      <c r="E98" s="1">
        <v>4</v>
      </c>
      <c r="G98" s="1">
        <v>100118</v>
      </c>
      <c r="J98" s="1">
        <v>810</v>
      </c>
      <c r="K98" s="1" t="s">
        <v>593</v>
      </c>
      <c r="L98" s="1" t="s">
        <v>594</v>
      </c>
      <c r="M98" s="1" t="s">
        <v>24</v>
      </c>
      <c r="N98" s="1" t="s">
        <v>25</v>
      </c>
      <c r="O98" s="1" t="s">
        <v>26</v>
      </c>
      <c r="P98" s="1" t="s">
        <v>27</v>
      </c>
      <c r="Q98" s="1" t="s">
        <v>595</v>
      </c>
      <c r="R98" s="1" t="b">
        <f>COUNTIF(  Papers!G:G, RAW_DATA!Q98 ) = 0</f>
        <v>0</v>
      </c>
      <c r="S98" s="1" t="b">
        <f t="shared" si="0"/>
        <v>0</v>
      </c>
    </row>
    <row r="99" spans="1:19" ht="15.75" customHeight="1">
      <c r="A99" s="1" t="s">
        <v>596</v>
      </c>
      <c r="B99" s="1" t="s">
        <v>597</v>
      </c>
      <c r="C99" s="1">
        <v>2016</v>
      </c>
      <c r="D99" s="1" t="s">
        <v>489</v>
      </c>
      <c r="E99" s="1">
        <v>22</v>
      </c>
      <c r="F99" s="1">
        <v>1</v>
      </c>
      <c r="G99" s="1">
        <v>7192716</v>
      </c>
      <c r="H99" s="1">
        <v>240</v>
      </c>
      <c r="I99" s="1">
        <v>249</v>
      </c>
      <c r="J99" s="1">
        <v>236</v>
      </c>
      <c r="K99" s="1" t="s">
        <v>598</v>
      </c>
      <c r="L99" s="1" t="s">
        <v>599</v>
      </c>
      <c r="M99" s="1" t="s">
        <v>54</v>
      </c>
      <c r="N99" s="1" t="s">
        <v>25</v>
      </c>
      <c r="O99" s="1" t="s">
        <v>113</v>
      </c>
      <c r="P99" s="1" t="s">
        <v>27</v>
      </c>
      <c r="Q99" s="1" t="s">
        <v>600</v>
      </c>
      <c r="R99" s="1" t="b">
        <f>COUNTIF(  Papers!G:G, RAW_DATA!Q99 ) = 0</f>
        <v>0</v>
      </c>
      <c r="S99" s="1" t="b">
        <f t="shared" si="0"/>
        <v>0</v>
      </c>
    </row>
    <row r="100" spans="1:19" ht="15.75" customHeight="1">
      <c r="A100" s="1" t="s">
        <v>601</v>
      </c>
      <c r="B100" s="1" t="s">
        <v>602</v>
      </c>
      <c r="C100" s="1">
        <v>2023</v>
      </c>
      <c r="D100" s="1" t="s">
        <v>212</v>
      </c>
      <c r="E100" s="1">
        <v>39</v>
      </c>
      <c r="F100" s="1">
        <v>4</v>
      </c>
      <c r="H100" s="1">
        <v>910</v>
      </c>
      <c r="I100" s="1">
        <v>922</v>
      </c>
      <c r="J100" s="1">
        <v>222</v>
      </c>
      <c r="K100" s="1" t="s">
        <v>603</v>
      </c>
      <c r="L100" s="1" t="s">
        <v>604</v>
      </c>
      <c r="M100" s="1" t="s">
        <v>54</v>
      </c>
      <c r="N100" s="1" t="s">
        <v>25</v>
      </c>
      <c r="P100" s="1" t="s">
        <v>27</v>
      </c>
      <c r="Q100" s="1" t="s">
        <v>605</v>
      </c>
      <c r="R100" s="1" t="b">
        <f>COUNTIF(  Papers!G:G, RAW_DATA!Q100 ) = 0</f>
        <v>0</v>
      </c>
      <c r="S100" s="1" t="b">
        <f t="shared" si="0"/>
        <v>0</v>
      </c>
    </row>
    <row r="101" spans="1:19" ht="15.75" customHeight="1">
      <c r="A101" s="1" t="s">
        <v>606</v>
      </c>
      <c r="B101" s="1" t="s">
        <v>607</v>
      </c>
      <c r="C101" s="1">
        <v>2018</v>
      </c>
      <c r="D101" s="1" t="s">
        <v>608</v>
      </c>
      <c r="E101" s="1">
        <v>19</v>
      </c>
      <c r="F101" s="1">
        <v>3</v>
      </c>
      <c r="H101" s="1">
        <v>259</v>
      </c>
      <c r="I101" s="1">
        <v>282</v>
      </c>
      <c r="J101" s="1">
        <v>300</v>
      </c>
      <c r="K101" s="1" t="s">
        <v>609</v>
      </c>
      <c r="L101" s="1" t="s">
        <v>610</v>
      </c>
      <c r="M101" s="1" t="s">
        <v>54</v>
      </c>
      <c r="N101" s="1" t="s">
        <v>25</v>
      </c>
      <c r="O101" s="1" t="s">
        <v>100</v>
      </c>
      <c r="P101" s="1" t="s">
        <v>27</v>
      </c>
      <c r="Q101" s="1" t="s">
        <v>611</v>
      </c>
      <c r="R101" s="1" t="b">
        <f>COUNTIF(  Papers!G:G, RAW_DATA!Q101 ) = 0</f>
        <v>0</v>
      </c>
      <c r="S101" s="1" t="b">
        <f t="shared" si="0"/>
        <v>0</v>
      </c>
    </row>
    <row r="102" spans="1:19" ht="15.75" customHeight="1">
      <c r="A102" s="1" t="s">
        <v>612</v>
      </c>
      <c r="B102" s="1" t="s">
        <v>613</v>
      </c>
      <c r="C102" s="1">
        <v>2022</v>
      </c>
      <c r="D102" s="1" t="s">
        <v>247</v>
      </c>
      <c r="G102" s="1">
        <v>332</v>
      </c>
      <c r="J102" s="1">
        <v>507</v>
      </c>
      <c r="K102" s="1" t="s">
        <v>614</v>
      </c>
      <c r="L102" s="1" t="s">
        <v>615</v>
      </c>
      <c r="M102" s="1" t="s">
        <v>169</v>
      </c>
      <c r="N102" s="1" t="s">
        <v>25</v>
      </c>
      <c r="P102" s="1" t="s">
        <v>27</v>
      </c>
      <c r="Q102" s="1" t="s">
        <v>616</v>
      </c>
      <c r="R102" s="1" t="b">
        <f>COUNTIF(  Papers!G:G, RAW_DATA!Q102 ) = 0</f>
        <v>0</v>
      </c>
      <c r="S102" s="1" t="b">
        <f t="shared" si="0"/>
        <v>0</v>
      </c>
    </row>
    <row r="103" spans="1:19" ht="15.75" customHeight="1">
      <c r="A103" s="1" t="s">
        <v>617</v>
      </c>
      <c r="B103" s="1" t="s">
        <v>618</v>
      </c>
      <c r="C103" s="1">
        <v>2020</v>
      </c>
      <c r="D103" s="1" t="s">
        <v>619</v>
      </c>
      <c r="E103" s="1">
        <v>141</v>
      </c>
      <c r="G103" s="1">
        <v>104164</v>
      </c>
      <c r="J103" s="1">
        <v>356</v>
      </c>
      <c r="K103" s="1" t="s">
        <v>620</v>
      </c>
      <c r="L103" s="1" t="s">
        <v>621</v>
      </c>
      <c r="M103" s="1" t="s">
        <v>54</v>
      </c>
      <c r="N103" s="1" t="s">
        <v>25</v>
      </c>
      <c r="O103" s="1" t="s">
        <v>113</v>
      </c>
      <c r="P103" s="1" t="s">
        <v>27</v>
      </c>
      <c r="Q103" s="1" t="s">
        <v>622</v>
      </c>
      <c r="R103" s="1" t="b">
        <f>COUNTIF(  Papers!G:G, RAW_DATA!Q103 ) = 0</f>
        <v>0</v>
      </c>
      <c r="S103" s="1" t="b">
        <f t="shared" si="0"/>
        <v>0</v>
      </c>
    </row>
    <row r="104" spans="1:19" ht="15.75" customHeight="1">
      <c r="A104" s="1" t="s">
        <v>623</v>
      </c>
      <c r="B104" s="1" t="s">
        <v>624</v>
      </c>
      <c r="C104" s="1">
        <v>2018</v>
      </c>
      <c r="D104" s="1" t="s">
        <v>247</v>
      </c>
      <c r="E104" s="1" t="s">
        <v>248</v>
      </c>
      <c r="J104" s="1">
        <v>575</v>
      </c>
      <c r="K104" s="1" t="s">
        <v>625</v>
      </c>
      <c r="L104" s="1" t="s">
        <v>626</v>
      </c>
      <c r="M104" s="1" t="s">
        <v>169</v>
      </c>
      <c r="N104" s="1" t="s">
        <v>25</v>
      </c>
      <c r="O104" s="1" t="s">
        <v>113</v>
      </c>
      <c r="P104" s="1" t="s">
        <v>27</v>
      </c>
      <c r="Q104" s="1" t="s">
        <v>627</v>
      </c>
      <c r="R104" s="1" t="b">
        <f>COUNTIF(  Papers!G:G, RAW_DATA!Q104 ) = 0</f>
        <v>0</v>
      </c>
      <c r="S104" s="1" t="b">
        <f t="shared" si="0"/>
        <v>0</v>
      </c>
    </row>
    <row r="105" spans="1:19" ht="15.75" customHeight="1">
      <c r="A105" s="1" t="s">
        <v>628</v>
      </c>
      <c r="B105" s="1" t="s">
        <v>629</v>
      </c>
      <c r="C105" s="1">
        <v>2017</v>
      </c>
      <c r="D105" s="1" t="s">
        <v>630</v>
      </c>
      <c r="E105" s="1">
        <v>11</v>
      </c>
      <c r="F105" s="1">
        <v>3</v>
      </c>
      <c r="H105" s="1">
        <v>225</v>
      </c>
      <c r="I105" s="1">
        <v>238</v>
      </c>
      <c r="J105" s="1">
        <v>245</v>
      </c>
      <c r="K105" s="1" t="s">
        <v>631</v>
      </c>
      <c r="L105" s="1" t="s">
        <v>632</v>
      </c>
      <c r="M105" s="1" t="s">
        <v>54</v>
      </c>
      <c r="N105" s="1" t="s">
        <v>25</v>
      </c>
      <c r="P105" s="1" t="s">
        <v>27</v>
      </c>
      <c r="Q105" s="1" t="s">
        <v>633</v>
      </c>
      <c r="R105" s="1" t="b">
        <f>COUNTIF(  Papers!G:G, RAW_DATA!Q105 ) = 0</f>
        <v>0</v>
      </c>
      <c r="S105" s="1" t="b">
        <f t="shared" si="0"/>
        <v>0</v>
      </c>
    </row>
    <row r="106" spans="1:19" ht="15.75" customHeight="1">
      <c r="A106" s="1" t="s">
        <v>634</v>
      </c>
      <c r="B106" s="1" t="s">
        <v>635</v>
      </c>
      <c r="C106" s="1">
        <v>2018</v>
      </c>
      <c r="D106" s="1" t="s">
        <v>59</v>
      </c>
      <c r="E106" s="1">
        <v>95</v>
      </c>
      <c r="H106" s="1">
        <v>773</v>
      </c>
      <c r="I106" s="1">
        <v>784</v>
      </c>
      <c r="J106" s="1">
        <v>469</v>
      </c>
      <c r="K106" s="1" t="s">
        <v>636</v>
      </c>
      <c r="L106" s="1" t="s">
        <v>637</v>
      </c>
      <c r="M106" s="1" t="s">
        <v>54</v>
      </c>
      <c r="N106" s="1" t="s">
        <v>25</v>
      </c>
      <c r="P106" s="1" t="s">
        <v>27</v>
      </c>
      <c r="Q106" s="1" t="s">
        <v>638</v>
      </c>
      <c r="R106" s="1" t="b">
        <f>COUNTIF(  Papers!G:G, RAW_DATA!Q106 ) = 0</f>
        <v>0</v>
      </c>
      <c r="S106" s="1" t="b">
        <f t="shared" si="0"/>
        <v>0</v>
      </c>
    </row>
    <row r="107" spans="1:19" ht="15.75" customHeight="1">
      <c r="A107" s="1" t="s">
        <v>639</v>
      </c>
      <c r="B107" s="1" t="s">
        <v>640</v>
      </c>
      <c r="C107" s="1">
        <v>2021</v>
      </c>
      <c r="D107" s="1" t="s">
        <v>641</v>
      </c>
      <c r="E107" s="1">
        <v>39</v>
      </c>
      <c r="F107" s="1">
        <v>2</v>
      </c>
      <c r="H107" s="1">
        <v>294</v>
      </c>
      <c r="I107" s="1">
        <v>311</v>
      </c>
      <c r="J107" s="1">
        <v>251</v>
      </c>
      <c r="K107" s="1" t="s">
        <v>642</v>
      </c>
      <c r="L107" s="1" t="s">
        <v>643</v>
      </c>
      <c r="M107" s="1" t="s">
        <v>54</v>
      </c>
      <c r="N107" s="1" t="s">
        <v>25</v>
      </c>
      <c r="P107" s="1" t="s">
        <v>27</v>
      </c>
      <c r="Q107" s="1" t="s">
        <v>644</v>
      </c>
      <c r="R107" s="1" t="b">
        <f>COUNTIF(  Papers!G:G, RAW_DATA!Q107 ) = 0</f>
        <v>0</v>
      </c>
      <c r="S107" s="1" t="b">
        <f t="shared" si="0"/>
        <v>0</v>
      </c>
    </row>
    <row r="108" spans="1:19" ht="15.75" customHeight="1">
      <c r="A108" s="1" t="s">
        <v>645</v>
      </c>
      <c r="B108" s="1" t="s">
        <v>646</v>
      </c>
      <c r="C108" s="1">
        <v>2016</v>
      </c>
      <c r="D108" s="1" t="s">
        <v>84</v>
      </c>
      <c r="E108" s="1">
        <v>58</v>
      </c>
      <c r="F108" s="1">
        <v>4</v>
      </c>
      <c r="H108" s="1">
        <v>525</v>
      </c>
      <c r="I108" s="1">
        <v>532</v>
      </c>
      <c r="J108" s="1">
        <v>656</v>
      </c>
      <c r="K108" s="1" t="s">
        <v>647</v>
      </c>
      <c r="L108" s="1" t="s">
        <v>648</v>
      </c>
      <c r="M108" s="1" t="s">
        <v>24</v>
      </c>
      <c r="N108" s="1" t="s">
        <v>25</v>
      </c>
      <c r="O108" s="1" t="s">
        <v>55</v>
      </c>
      <c r="P108" s="1" t="s">
        <v>27</v>
      </c>
      <c r="Q108" s="1" t="s">
        <v>649</v>
      </c>
      <c r="R108" s="1" t="b">
        <f>COUNTIF(  Papers!G:G, RAW_DATA!Q108 ) = 0</f>
        <v>0</v>
      </c>
      <c r="S108" s="1" t="b">
        <f t="shared" si="0"/>
        <v>0</v>
      </c>
    </row>
    <row r="109" spans="1:19" ht="15.75" customHeight="1">
      <c r="A109" s="1" t="s">
        <v>650</v>
      </c>
      <c r="B109" s="1" t="s">
        <v>651</v>
      </c>
      <c r="C109" s="1">
        <v>2022</v>
      </c>
      <c r="D109" s="1" t="s">
        <v>652</v>
      </c>
      <c r="E109" s="1">
        <v>66</v>
      </c>
      <c r="F109" s="1">
        <v>4</v>
      </c>
      <c r="H109" s="1">
        <v>616</v>
      </c>
      <c r="I109" s="1">
        <v>630</v>
      </c>
      <c r="J109" s="1">
        <v>647</v>
      </c>
      <c r="K109" s="1" t="s">
        <v>653</v>
      </c>
      <c r="L109" s="1" t="s">
        <v>654</v>
      </c>
      <c r="M109" s="1" t="s">
        <v>54</v>
      </c>
      <c r="N109" s="1" t="s">
        <v>25</v>
      </c>
      <c r="O109" s="1" t="s">
        <v>100</v>
      </c>
      <c r="P109" s="1" t="s">
        <v>27</v>
      </c>
      <c r="Q109" s="1" t="s">
        <v>655</v>
      </c>
      <c r="R109" s="1" t="b">
        <f>COUNTIF(  Papers!G:G, RAW_DATA!Q109 ) = 0</f>
        <v>0</v>
      </c>
      <c r="S109" s="1" t="b">
        <f t="shared" si="0"/>
        <v>0</v>
      </c>
    </row>
    <row r="110" spans="1:19" ht="15.75" customHeight="1">
      <c r="A110" s="1" t="s">
        <v>656</v>
      </c>
      <c r="B110" s="1" t="s">
        <v>657</v>
      </c>
      <c r="C110" s="1">
        <v>2018</v>
      </c>
      <c r="D110" s="1" t="s">
        <v>247</v>
      </c>
      <c r="E110" s="1" t="s">
        <v>248</v>
      </c>
      <c r="J110" s="1">
        <v>381</v>
      </c>
      <c r="K110" s="1" t="s">
        <v>658</v>
      </c>
      <c r="L110" s="1" t="s">
        <v>659</v>
      </c>
      <c r="M110" s="1" t="s">
        <v>169</v>
      </c>
      <c r="N110" s="1" t="s">
        <v>25</v>
      </c>
      <c r="O110" s="1" t="s">
        <v>26</v>
      </c>
      <c r="P110" s="1" t="s">
        <v>27</v>
      </c>
      <c r="Q110" s="1" t="s">
        <v>660</v>
      </c>
      <c r="R110" s="1" t="b">
        <f>COUNTIF(  Papers!G:G, RAW_DATA!Q110 ) = 0</f>
        <v>0</v>
      </c>
      <c r="S110" s="1" t="b">
        <f t="shared" si="0"/>
        <v>0</v>
      </c>
    </row>
    <row r="111" spans="1:19" ht="15.75" customHeight="1">
      <c r="A111" s="1" t="s">
        <v>661</v>
      </c>
      <c r="B111" s="1" t="s">
        <v>662</v>
      </c>
      <c r="C111" s="1">
        <v>2017</v>
      </c>
      <c r="D111" s="1" t="s">
        <v>663</v>
      </c>
      <c r="E111" s="1">
        <v>36</v>
      </c>
      <c r="F111" s="1">
        <v>6</v>
      </c>
      <c r="H111" s="1">
        <v>691</v>
      </c>
      <c r="I111" s="1">
        <v>702</v>
      </c>
      <c r="J111" s="1">
        <v>247</v>
      </c>
      <c r="K111" s="1" t="s">
        <v>664</v>
      </c>
      <c r="L111" s="1" t="s">
        <v>665</v>
      </c>
      <c r="M111" s="1" t="s">
        <v>54</v>
      </c>
      <c r="N111" s="1" t="s">
        <v>25</v>
      </c>
      <c r="P111" s="1" t="s">
        <v>27</v>
      </c>
      <c r="Q111" s="1" t="s">
        <v>666</v>
      </c>
      <c r="R111" s="1" t="b">
        <f>COUNTIF(  Papers!G:G, RAW_DATA!Q111 ) = 0</f>
        <v>0</v>
      </c>
      <c r="S111" s="1" t="b">
        <f t="shared" si="0"/>
        <v>0</v>
      </c>
    </row>
    <row r="112" spans="1:19" ht="15.75" customHeight="1">
      <c r="A112" s="1" t="s">
        <v>667</v>
      </c>
      <c r="B112" s="1" t="s">
        <v>668</v>
      </c>
      <c r="C112" s="1">
        <v>2019</v>
      </c>
      <c r="D112" s="1" t="s">
        <v>304</v>
      </c>
      <c r="E112" s="1">
        <v>64</v>
      </c>
      <c r="H112" s="1">
        <v>285</v>
      </c>
      <c r="I112" s="1">
        <v>307</v>
      </c>
      <c r="J112" s="1">
        <v>372</v>
      </c>
      <c r="K112" s="1" t="s">
        <v>669</v>
      </c>
      <c r="L112" s="1" t="s">
        <v>670</v>
      </c>
      <c r="M112" s="1" t="s">
        <v>54</v>
      </c>
      <c r="N112" s="1" t="s">
        <v>25</v>
      </c>
      <c r="O112" s="1" t="s">
        <v>120</v>
      </c>
      <c r="P112" s="1" t="s">
        <v>27</v>
      </c>
      <c r="Q112" s="1" t="s">
        <v>671</v>
      </c>
      <c r="R112" s="1" t="b">
        <f>COUNTIF(  Papers!G:G, RAW_DATA!Q112 ) = 0</f>
        <v>0</v>
      </c>
      <c r="S112" s="1" t="b">
        <f t="shared" si="0"/>
        <v>0</v>
      </c>
    </row>
    <row r="113" spans="1:19" ht="15.75" customHeight="1">
      <c r="A113" s="1" t="s">
        <v>672</v>
      </c>
      <c r="B113" s="1" t="s">
        <v>673</v>
      </c>
      <c r="C113" s="1">
        <v>2021</v>
      </c>
      <c r="D113" s="1" t="s">
        <v>148</v>
      </c>
      <c r="E113" s="1">
        <v>31</v>
      </c>
      <c r="F113" s="1">
        <v>2</v>
      </c>
      <c r="H113" s="1">
        <v>447</v>
      </c>
      <c r="I113" s="1">
        <v>464</v>
      </c>
      <c r="J113" s="1">
        <v>470</v>
      </c>
      <c r="K113" s="1" t="s">
        <v>674</v>
      </c>
      <c r="L113" s="1" t="s">
        <v>675</v>
      </c>
      <c r="M113" s="1" t="s">
        <v>54</v>
      </c>
      <c r="N113" s="1" t="s">
        <v>25</v>
      </c>
      <c r="O113" s="1" t="s">
        <v>100</v>
      </c>
      <c r="P113" s="1" t="s">
        <v>27</v>
      </c>
      <c r="Q113" s="1" t="s">
        <v>676</v>
      </c>
      <c r="R113" s="1" t="b">
        <f>COUNTIF(  Papers!G:G, RAW_DATA!Q113 ) = 0</f>
        <v>0</v>
      </c>
      <c r="S113" s="1" t="b">
        <f t="shared" si="0"/>
        <v>0</v>
      </c>
    </row>
    <row r="114" spans="1:19" ht="15.75" customHeight="1">
      <c r="A114" s="1" t="s">
        <v>628</v>
      </c>
      <c r="B114" s="1" t="s">
        <v>677</v>
      </c>
      <c r="C114" s="1">
        <v>2017</v>
      </c>
      <c r="D114" s="1" t="s">
        <v>84</v>
      </c>
      <c r="E114" s="1">
        <v>59</v>
      </c>
      <c r="F114" s="1">
        <v>1</v>
      </c>
      <c r="H114" s="1">
        <v>5</v>
      </c>
      <c r="I114" s="1">
        <v>27</v>
      </c>
      <c r="J114" s="1">
        <v>712</v>
      </c>
      <c r="K114" s="1" t="s">
        <v>678</v>
      </c>
      <c r="L114" s="1" t="s">
        <v>679</v>
      </c>
      <c r="M114" s="1" t="s">
        <v>54</v>
      </c>
      <c r="N114" s="1" t="s">
        <v>25</v>
      </c>
      <c r="P114" s="1" t="s">
        <v>27</v>
      </c>
      <c r="Q114" s="1" t="s">
        <v>680</v>
      </c>
      <c r="R114" s="1" t="b">
        <f>COUNTIF(  Papers!G:G, RAW_DATA!Q114 ) = 0</f>
        <v>0</v>
      </c>
      <c r="S114" s="1" t="b">
        <f t="shared" si="0"/>
        <v>0</v>
      </c>
    </row>
    <row r="115" spans="1:19" ht="15.75" customHeight="1">
      <c r="A115" s="1" t="s">
        <v>505</v>
      </c>
      <c r="B115" s="1" t="s">
        <v>681</v>
      </c>
      <c r="C115" s="1">
        <v>2023</v>
      </c>
      <c r="D115" s="1" t="s">
        <v>212</v>
      </c>
      <c r="E115" s="1">
        <v>39</v>
      </c>
      <c r="F115" s="1">
        <v>13</v>
      </c>
      <c r="H115" s="1">
        <v>2724</v>
      </c>
      <c r="I115" s="1">
        <v>2741</v>
      </c>
      <c r="J115" s="1">
        <v>281</v>
      </c>
      <c r="K115" s="1" t="s">
        <v>682</v>
      </c>
      <c r="L115" s="1" t="s">
        <v>683</v>
      </c>
      <c r="M115" s="1" t="s">
        <v>54</v>
      </c>
      <c r="N115" s="1" t="s">
        <v>25</v>
      </c>
      <c r="O115" s="1" t="s">
        <v>55</v>
      </c>
      <c r="P115" s="1" t="s">
        <v>27</v>
      </c>
      <c r="Q115" s="1" t="s">
        <v>684</v>
      </c>
      <c r="R115" s="1" t="b">
        <f>COUNTIF(  Papers!G:G, RAW_DATA!Q115 ) = 0</f>
        <v>0</v>
      </c>
      <c r="S115" s="1" t="b">
        <f t="shared" si="0"/>
        <v>0</v>
      </c>
    </row>
    <row r="116" spans="1:19" ht="15.75" customHeight="1">
      <c r="A116" s="1" t="s">
        <v>685</v>
      </c>
      <c r="B116" s="1" t="s">
        <v>686</v>
      </c>
      <c r="C116" s="1">
        <v>2021</v>
      </c>
      <c r="D116" s="1" t="s">
        <v>687</v>
      </c>
      <c r="E116" s="1">
        <v>45</v>
      </c>
      <c r="F116" s="1">
        <v>3</v>
      </c>
      <c r="H116" s="1">
        <v>1527</v>
      </c>
      <c r="I116" s="1">
        <v>1556</v>
      </c>
      <c r="J116" s="1">
        <v>274</v>
      </c>
      <c r="K116" s="1" t="s">
        <v>688</v>
      </c>
      <c r="L116" s="1" t="s">
        <v>689</v>
      </c>
      <c r="M116" s="1" t="s">
        <v>54</v>
      </c>
      <c r="N116" s="1" t="s">
        <v>25</v>
      </c>
      <c r="O116" s="1" t="s">
        <v>113</v>
      </c>
      <c r="P116" s="1" t="s">
        <v>27</v>
      </c>
      <c r="Q116" s="1" t="s">
        <v>690</v>
      </c>
      <c r="R116" s="1" t="b">
        <f>COUNTIF(  Papers!G:G, RAW_DATA!Q116 ) = 0</f>
        <v>0</v>
      </c>
      <c r="S116" s="1" t="b">
        <f t="shared" si="0"/>
        <v>0</v>
      </c>
    </row>
    <row r="117" spans="1:19" ht="15.75" customHeight="1">
      <c r="A117" s="1" t="s">
        <v>691</v>
      </c>
      <c r="B117" s="1" t="s">
        <v>692</v>
      </c>
      <c r="C117" s="1">
        <v>2021</v>
      </c>
      <c r="D117" s="1" t="s">
        <v>247</v>
      </c>
      <c r="J117" s="1">
        <v>403</v>
      </c>
      <c r="K117" s="1" t="s">
        <v>693</v>
      </c>
      <c r="L117" s="1" t="s">
        <v>694</v>
      </c>
      <c r="M117" s="1" t="s">
        <v>169</v>
      </c>
      <c r="N117" s="1" t="s">
        <v>25</v>
      </c>
      <c r="O117" s="1" t="s">
        <v>113</v>
      </c>
      <c r="P117" s="1" t="s">
        <v>27</v>
      </c>
      <c r="Q117" s="1" t="s">
        <v>695</v>
      </c>
      <c r="R117" s="1" t="b">
        <f>COUNTIF(  Papers!G:G, RAW_DATA!Q117 ) = 0</f>
        <v>0</v>
      </c>
      <c r="S117" s="1" t="b">
        <f t="shared" si="0"/>
        <v>0</v>
      </c>
    </row>
    <row r="118" spans="1:19" ht="15.75" customHeight="1">
      <c r="A118" s="1" t="s">
        <v>696</v>
      </c>
      <c r="B118" s="1" t="s">
        <v>697</v>
      </c>
      <c r="C118" s="1">
        <v>2021</v>
      </c>
      <c r="D118" s="1" t="s">
        <v>130</v>
      </c>
      <c r="E118" s="1">
        <v>131</v>
      </c>
      <c r="H118" s="1">
        <v>485</v>
      </c>
      <c r="I118" s="1">
        <v>494</v>
      </c>
      <c r="J118" s="1">
        <v>320</v>
      </c>
      <c r="K118" s="1" t="s">
        <v>698</v>
      </c>
      <c r="L118" s="1" t="s">
        <v>699</v>
      </c>
      <c r="M118" s="1" t="s">
        <v>54</v>
      </c>
      <c r="N118" s="1" t="s">
        <v>25</v>
      </c>
      <c r="O118" s="1" t="s">
        <v>113</v>
      </c>
      <c r="P118" s="1" t="s">
        <v>27</v>
      </c>
      <c r="Q118" s="1" t="s">
        <v>700</v>
      </c>
      <c r="R118" s="1" t="b">
        <f>COUNTIF(  Papers!G:G, RAW_DATA!Q118 ) = 0</f>
        <v>0</v>
      </c>
      <c r="S118" s="1" t="b">
        <f t="shared" si="0"/>
        <v>0</v>
      </c>
    </row>
    <row r="119" spans="1:19" ht="15.75" customHeight="1">
      <c r="A119" s="1" t="s">
        <v>701</v>
      </c>
      <c r="B119" s="1" t="s">
        <v>702</v>
      </c>
      <c r="C119" s="1">
        <v>2018</v>
      </c>
      <c r="D119" s="1" t="s">
        <v>703</v>
      </c>
      <c r="E119" s="1" t="s">
        <v>704</v>
      </c>
      <c r="H119" s="1">
        <v>5541</v>
      </c>
      <c r="I119" s="1">
        <v>5552</v>
      </c>
      <c r="J119" s="1">
        <v>344</v>
      </c>
      <c r="L119" s="1" t="s">
        <v>705</v>
      </c>
      <c r="M119" s="1" t="s">
        <v>169</v>
      </c>
      <c r="N119" s="1" t="s">
        <v>25</v>
      </c>
      <c r="P119" s="1" t="s">
        <v>27</v>
      </c>
      <c r="Q119" s="1" t="s">
        <v>706</v>
      </c>
      <c r="R119" s="1" t="b">
        <f>COUNTIF(  Papers!G:G, RAW_DATA!Q119 ) = 0</f>
        <v>0</v>
      </c>
      <c r="S119" s="1" t="b">
        <f t="shared" si="0"/>
        <v>0</v>
      </c>
    </row>
    <row r="120" spans="1:19" ht="15.75" customHeight="1">
      <c r="A120" s="1" t="s">
        <v>707</v>
      </c>
      <c r="B120" s="1" t="s">
        <v>708</v>
      </c>
      <c r="C120" s="1">
        <v>2021</v>
      </c>
      <c r="D120" s="1" t="s">
        <v>709</v>
      </c>
      <c r="E120" s="1">
        <v>4</v>
      </c>
      <c r="F120" s="1">
        <v>1</v>
      </c>
      <c r="G120" s="1">
        <v>140</v>
      </c>
      <c r="J120" s="1">
        <v>300</v>
      </c>
      <c r="K120" s="1" t="s">
        <v>710</v>
      </c>
      <c r="L120" s="1" t="s">
        <v>711</v>
      </c>
      <c r="M120" s="1" t="s">
        <v>54</v>
      </c>
      <c r="N120" s="1" t="s">
        <v>25</v>
      </c>
      <c r="O120" s="1" t="s">
        <v>26</v>
      </c>
      <c r="P120" s="1" t="s">
        <v>27</v>
      </c>
      <c r="Q120" s="1" t="s">
        <v>712</v>
      </c>
      <c r="R120" s="1" t="b">
        <f>COUNTIF(  Papers!G:G, RAW_DATA!Q120 ) = 0</f>
        <v>0</v>
      </c>
      <c r="S120" s="1" t="b">
        <f t="shared" si="0"/>
        <v>0</v>
      </c>
    </row>
    <row r="121" spans="1:19" ht="15.75" customHeight="1">
      <c r="A121" s="1" t="s">
        <v>713</v>
      </c>
      <c r="B121" s="1" t="s">
        <v>714</v>
      </c>
      <c r="C121" s="1">
        <v>2022</v>
      </c>
      <c r="D121" s="1" t="s">
        <v>715</v>
      </c>
      <c r="E121" s="1">
        <v>71</v>
      </c>
      <c r="F121" s="1">
        <v>4</v>
      </c>
      <c r="H121" s="1">
        <v>1171</v>
      </c>
      <c r="I121" s="1">
        <v>1204</v>
      </c>
      <c r="J121" s="1">
        <v>585</v>
      </c>
      <c r="K121" s="1" t="s">
        <v>716</v>
      </c>
      <c r="L121" s="1" t="s">
        <v>717</v>
      </c>
      <c r="M121" s="1" t="s">
        <v>54</v>
      </c>
      <c r="N121" s="1" t="s">
        <v>25</v>
      </c>
      <c r="O121" s="1" t="s">
        <v>100</v>
      </c>
      <c r="P121" s="1" t="s">
        <v>27</v>
      </c>
      <c r="Q121" s="1" t="s">
        <v>718</v>
      </c>
      <c r="R121" s="1" t="b">
        <f>COUNTIF(  Papers!G:G, RAW_DATA!Q121 ) = 0</f>
        <v>0</v>
      </c>
      <c r="S121" s="1" t="b">
        <f t="shared" si="0"/>
        <v>0</v>
      </c>
    </row>
    <row r="122" spans="1:19" ht="15.75" customHeight="1">
      <c r="A122" s="1" t="s">
        <v>719</v>
      </c>
      <c r="B122" s="1" t="s">
        <v>720</v>
      </c>
      <c r="C122" s="1">
        <v>2022</v>
      </c>
      <c r="D122" s="1" t="s">
        <v>721</v>
      </c>
      <c r="E122" s="1">
        <v>32</v>
      </c>
      <c r="F122" s="1">
        <v>2</v>
      </c>
      <c r="H122" s="1">
        <v>496</v>
      </c>
      <c r="I122" s="1">
        <v>517</v>
      </c>
      <c r="J122" s="1">
        <v>238</v>
      </c>
      <c r="K122" s="1" t="s">
        <v>722</v>
      </c>
      <c r="L122" s="1" t="s">
        <v>723</v>
      </c>
      <c r="M122" s="1" t="s">
        <v>54</v>
      </c>
      <c r="N122" s="1" t="s">
        <v>25</v>
      </c>
      <c r="O122" s="1" t="s">
        <v>100</v>
      </c>
      <c r="P122" s="1" t="s">
        <v>27</v>
      </c>
      <c r="Q122" s="1" t="s">
        <v>724</v>
      </c>
      <c r="R122" s="1" t="b">
        <f>COUNTIF(  Papers!G:G, RAW_DATA!Q122 ) = 0</f>
        <v>0</v>
      </c>
      <c r="S122" s="1" t="b">
        <f t="shared" si="0"/>
        <v>0</v>
      </c>
    </row>
    <row r="123" spans="1:19" ht="15.75" customHeight="1">
      <c r="A123" s="1" t="s">
        <v>725</v>
      </c>
      <c r="B123" s="1" t="s">
        <v>726</v>
      </c>
      <c r="C123" s="1">
        <v>2020</v>
      </c>
      <c r="D123" s="1" t="s">
        <v>727</v>
      </c>
      <c r="E123" s="1">
        <v>29</v>
      </c>
      <c r="F123" s="1">
        <v>4</v>
      </c>
      <c r="H123" s="1">
        <v>260</v>
      </c>
      <c r="I123" s="1">
        <v>278</v>
      </c>
      <c r="J123" s="1">
        <v>306</v>
      </c>
      <c r="K123" s="1" t="s">
        <v>728</v>
      </c>
      <c r="L123" s="1" t="s">
        <v>729</v>
      </c>
      <c r="M123" s="1" t="s">
        <v>54</v>
      </c>
      <c r="N123" s="1" t="s">
        <v>25</v>
      </c>
      <c r="P123" s="1" t="s">
        <v>27</v>
      </c>
      <c r="Q123" s="1" t="s">
        <v>730</v>
      </c>
      <c r="R123" s="1" t="b">
        <f>COUNTIF(  Papers!G:G, RAW_DATA!Q123 ) = 0</f>
        <v>0</v>
      </c>
      <c r="S123" s="1" t="b">
        <f t="shared" si="0"/>
        <v>0</v>
      </c>
    </row>
    <row r="124" spans="1:19" ht="15.75" customHeight="1">
      <c r="A124" s="1" t="s">
        <v>731</v>
      </c>
      <c r="B124" s="1" t="s">
        <v>732</v>
      </c>
      <c r="C124" s="1">
        <v>2017</v>
      </c>
      <c r="D124" s="1" t="s">
        <v>59</v>
      </c>
      <c r="E124" s="1">
        <v>84</v>
      </c>
      <c r="H124" s="1">
        <v>178</v>
      </c>
      <c r="I124" s="1">
        <v>195</v>
      </c>
      <c r="J124" s="1">
        <v>243</v>
      </c>
      <c r="K124" s="1" t="s">
        <v>733</v>
      </c>
      <c r="L124" s="1" t="s">
        <v>734</v>
      </c>
      <c r="M124" s="1" t="s">
        <v>54</v>
      </c>
      <c r="N124" s="1" t="s">
        <v>25</v>
      </c>
      <c r="P124" s="1" t="s">
        <v>27</v>
      </c>
      <c r="Q124" s="1" t="s">
        <v>735</v>
      </c>
      <c r="R124" s="1" t="b">
        <f>COUNTIF(  Papers!G:G, RAW_DATA!Q124 ) = 0</f>
        <v>0</v>
      </c>
      <c r="S124" s="1" t="b">
        <f t="shared" si="0"/>
        <v>0</v>
      </c>
    </row>
    <row r="125" spans="1:19" ht="15.75" customHeight="1">
      <c r="A125" s="1" t="s">
        <v>736</v>
      </c>
      <c r="B125" s="1" t="s">
        <v>737</v>
      </c>
      <c r="C125" s="1">
        <v>2017</v>
      </c>
      <c r="D125" s="1" t="s">
        <v>738</v>
      </c>
      <c r="E125" s="1">
        <v>27</v>
      </c>
      <c r="F125" s="3">
        <v>46086</v>
      </c>
      <c r="H125" s="1">
        <v>393</v>
      </c>
      <c r="I125" s="1">
        <v>444</v>
      </c>
      <c r="J125" s="1">
        <v>351</v>
      </c>
      <c r="K125" s="1" t="s">
        <v>739</v>
      </c>
      <c r="L125" s="1" t="s">
        <v>740</v>
      </c>
      <c r="M125" s="1" t="s">
        <v>54</v>
      </c>
      <c r="N125" s="1" t="s">
        <v>25</v>
      </c>
      <c r="O125" s="1" t="s">
        <v>113</v>
      </c>
      <c r="P125" s="1" t="s">
        <v>27</v>
      </c>
      <c r="Q125" s="1" t="s">
        <v>741</v>
      </c>
      <c r="R125" s="1" t="b">
        <f>COUNTIF(  Papers!G:G, RAW_DATA!Q125 ) = 0</f>
        <v>0</v>
      </c>
      <c r="S125" s="1" t="b">
        <f t="shared" si="0"/>
        <v>0</v>
      </c>
    </row>
    <row r="126" spans="1:19" ht="15.75" customHeight="1">
      <c r="A126" s="1" t="s">
        <v>742</v>
      </c>
      <c r="B126" s="1" t="s">
        <v>743</v>
      </c>
      <c r="C126" s="1">
        <v>2023</v>
      </c>
      <c r="D126" s="1" t="s">
        <v>148</v>
      </c>
      <c r="E126" s="1">
        <v>33</v>
      </c>
      <c r="F126" s="1">
        <v>1</v>
      </c>
      <c r="G126" s="1">
        <v>63</v>
      </c>
      <c r="J126" s="1">
        <v>370</v>
      </c>
      <c r="K126" s="1" t="s">
        <v>744</v>
      </c>
      <c r="L126" s="1" t="s">
        <v>745</v>
      </c>
      <c r="M126" s="1" t="s">
        <v>54</v>
      </c>
      <c r="N126" s="1" t="s">
        <v>25</v>
      </c>
      <c r="O126" s="1" t="s">
        <v>100</v>
      </c>
      <c r="P126" s="1" t="s">
        <v>27</v>
      </c>
      <c r="Q126" s="1" t="s">
        <v>746</v>
      </c>
      <c r="R126" s="1" t="b">
        <f>COUNTIF(  Papers!G:G, RAW_DATA!Q126 ) = 0</f>
        <v>0</v>
      </c>
      <c r="S126" s="1" t="b">
        <f t="shared" si="0"/>
        <v>0</v>
      </c>
    </row>
    <row r="127" spans="1:19" ht="15.75" customHeight="1">
      <c r="A127" s="1" t="s">
        <v>747</v>
      </c>
      <c r="B127" s="1" t="s">
        <v>748</v>
      </c>
      <c r="C127" s="1">
        <v>2016</v>
      </c>
      <c r="D127" s="1" t="s">
        <v>749</v>
      </c>
      <c r="H127" s="1">
        <v>97</v>
      </c>
      <c r="I127" s="1">
        <v>101</v>
      </c>
      <c r="J127" s="1">
        <v>770</v>
      </c>
      <c r="L127" s="1" t="s">
        <v>750</v>
      </c>
      <c r="M127" s="1" t="s">
        <v>169</v>
      </c>
      <c r="N127" s="1" t="s">
        <v>25</v>
      </c>
      <c r="P127" s="1" t="s">
        <v>27</v>
      </c>
      <c r="Q127" s="1" t="s">
        <v>751</v>
      </c>
      <c r="R127" s="1" t="b">
        <f>COUNTIF(  Papers!G:G, RAW_DATA!Q127 ) = 0</f>
        <v>0</v>
      </c>
      <c r="S127" s="1" t="b">
        <f t="shared" si="0"/>
        <v>1</v>
      </c>
    </row>
    <row r="128" spans="1:19" ht="15.75" customHeight="1">
      <c r="A128" s="1" t="s">
        <v>752</v>
      </c>
      <c r="B128" s="1" t="s">
        <v>753</v>
      </c>
      <c r="C128" s="1">
        <v>2022</v>
      </c>
      <c r="D128" s="1" t="s">
        <v>754</v>
      </c>
      <c r="E128" s="1">
        <v>33</v>
      </c>
      <c r="F128" s="1">
        <v>6</v>
      </c>
      <c r="H128" s="1">
        <v>1179</v>
      </c>
      <c r="I128" s="1">
        <v>1208</v>
      </c>
      <c r="J128" s="1">
        <v>276</v>
      </c>
      <c r="K128" s="1" t="s">
        <v>755</v>
      </c>
      <c r="L128" s="1" t="s">
        <v>756</v>
      </c>
      <c r="M128" s="1" t="s">
        <v>54</v>
      </c>
      <c r="N128" s="1" t="s">
        <v>25</v>
      </c>
      <c r="O128" s="1" t="s">
        <v>324</v>
      </c>
      <c r="P128" s="1" t="s">
        <v>27</v>
      </c>
      <c r="Q128" s="1" t="s">
        <v>757</v>
      </c>
      <c r="R128" s="1" t="b">
        <f>COUNTIF(  Papers!G:G, RAW_DATA!Q128 ) = 0</f>
        <v>0</v>
      </c>
      <c r="S128" s="1" t="b">
        <f t="shared" si="0"/>
        <v>0</v>
      </c>
    </row>
    <row r="129" spans="1:19" ht="15.75" customHeight="1">
      <c r="A129" s="1" t="s">
        <v>758</v>
      </c>
      <c r="B129" s="1" t="s">
        <v>759</v>
      </c>
      <c r="C129" s="1">
        <v>2016</v>
      </c>
      <c r="D129" s="1" t="s">
        <v>760</v>
      </c>
      <c r="E129" s="1">
        <v>29</v>
      </c>
      <c r="F129" s="1">
        <v>8</v>
      </c>
      <c r="H129" s="1">
        <v>916</v>
      </c>
      <c r="I129" s="1">
        <v>931</v>
      </c>
      <c r="J129" s="1">
        <v>368</v>
      </c>
      <c r="K129" s="1" t="s">
        <v>761</v>
      </c>
      <c r="L129" s="1" t="s">
        <v>762</v>
      </c>
      <c r="M129" s="1" t="s">
        <v>54</v>
      </c>
      <c r="N129" s="1" t="s">
        <v>25</v>
      </c>
      <c r="P129" s="1" t="s">
        <v>27</v>
      </c>
      <c r="Q129" s="1" t="s">
        <v>763</v>
      </c>
      <c r="R129" s="1" t="b">
        <f>COUNTIF(  Papers!G:G, RAW_DATA!Q129 ) = 0</f>
        <v>0</v>
      </c>
      <c r="S129" s="1" t="b">
        <f t="shared" si="0"/>
        <v>0</v>
      </c>
    </row>
    <row r="130" spans="1:19" ht="15.75" customHeight="1">
      <c r="A130" s="1" t="s">
        <v>764</v>
      </c>
      <c r="B130" s="1" t="s">
        <v>765</v>
      </c>
      <c r="C130" s="1">
        <v>2022</v>
      </c>
      <c r="D130" s="1" t="s">
        <v>766</v>
      </c>
      <c r="E130" s="1">
        <v>31</v>
      </c>
      <c r="F130" s="1">
        <v>3</v>
      </c>
      <c r="H130" s="1">
        <v>388</v>
      </c>
      <c r="I130" s="1">
        <v>409</v>
      </c>
      <c r="J130" s="1">
        <v>571</v>
      </c>
      <c r="K130" s="1" t="s">
        <v>767</v>
      </c>
      <c r="L130" s="1" t="s">
        <v>768</v>
      </c>
      <c r="M130" s="1" t="s">
        <v>24</v>
      </c>
      <c r="N130" s="1" t="s">
        <v>25</v>
      </c>
      <c r="P130" s="1" t="s">
        <v>27</v>
      </c>
      <c r="Q130" s="1" t="s">
        <v>769</v>
      </c>
      <c r="R130" s="1" t="b">
        <f>COUNTIF(  Papers!G:G, RAW_DATA!Q130 ) = 0</f>
        <v>0</v>
      </c>
      <c r="S130" s="1" t="b">
        <f t="shared" si="0"/>
        <v>0</v>
      </c>
    </row>
    <row r="131" spans="1:19" ht="15.75" customHeight="1">
      <c r="A131" s="1" t="s">
        <v>770</v>
      </c>
      <c r="B131" s="1" t="s">
        <v>771</v>
      </c>
      <c r="C131" s="1">
        <v>2021</v>
      </c>
      <c r="D131" s="1" t="s">
        <v>189</v>
      </c>
      <c r="E131" s="1">
        <v>115</v>
      </c>
      <c r="G131" s="1">
        <v>106607</v>
      </c>
      <c r="J131" s="1">
        <v>347</v>
      </c>
      <c r="K131" s="1" t="s">
        <v>772</v>
      </c>
      <c r="L131" s="1" t="s">
        <v>773</v>
      </c>
      <c r="M131" s="1" t="s">
        <v>54</v>
      </c>
      <c r="N131" s="1" t="s">
        <v>25</v>
      </c>
      <c r="P131" s="1" t="s">
        <v>27</v>
      </c>
      <c r="Q131" s="1" t="s">
        <v>774</v>
      </c>
      <c r="R131" s="1" t="b">
        <f>COUNTIF(  Papers!G:G, RAW_DATA!Q131 ) = 0</f>
        <v>0</v>
      </c>
      <c r="S131" s="1" t="b">
        <f t="shared" si="0"/>
        <v>0</v>
      </c>
    </row>
    <row r="132" spans="1:19" ht="15.75" customHeight="1">
      <c r="A132" s="1" t="s">
        <v>775</v>
      </c>
      <c r="B132" s="1" t="s">
        <v>776</v>
      </c>
      <c r="C132" s="1">
        <v>2019</v>
      </c>
      <c r="D132" s="1" t="s">
        <v>84</v>
      </c>
      <c r="E132" s="1">
        <v>61</v>
      </c>
      <c r="F132" s="1">
        <v>4</v>
      </c>
      <c r="H132" s="1">
        <v>642</v>
      </c>
      <c r="I132" s="1">
        <v>688</v>
      </c>
      <c r="J132" s="1">
        <v>252</v>
      </c>
      <c r="K132" s="1" t="s">
        <v>777</v>
      </c>
      <c r="L132" s="1" t="s">
        <v>778</v>
      </c>
      <c r="M132" s="1" t="s">
        <v>24</v>
      </c>
      <c r="N132" s="1" t="s">
        <v>25</v>
      </c>
      <c r="P132" s="1" t="s">
        <v>27</v>
      </c>
      <c r="Q132" s="1" t="s">
        <v>779</v>
      </c>
      <c r="R132" s="1" t="b">
        <f>COUNTIF(  Papers!G:G, RAW_DATA!Q132 ) = 0</f>
        <v>0</v>
      </c>
      <c r="S132" s="1" t="b">
        <f t="shared" si="0"/>
        <v>0</v>
      </c>
    </row>
    <row r="133" spans="1:19" ht="15.75" customHeight="1">
      <c r="A133" s="1" t="s">
        <v>780</v>
      </c>
      <c r="B133" s="1" t="s">
        <v>781</v>
      </c>
      <c r="C133" s="1">
        <v>2017</v>
      </c>
      <c r="D133" s="1" t="s">
        <v>782</v>
      </c>
      <c r="E133" s="1">
        <v>103</v>
      </c>
      <c r="H133" s="1">
        <v>95</v>
      </c>
      <c r="I133" s="1">
        <v>105</v>
      </c>
      <c r="J133" s="1">
        <v>335</v>
      </c>
      <c r="K133" s="1" t="s">
        <v>783</v>
      </c>
      <c r="L133" s="1" t="s">
        <v>784</v>
      </c>
      <c r="M133" s="1" t="s">
        <v>54</v>
      </c>
      <c r="N133" s="1" t="s">
        <v>25</v>
      </c>
      <c r="P133" s="1" t="s">
        <v>27</v>
      </c>
      <c r="Q133" s="1" t="s">
        <v>785</v>
      </c>
      <c r="R133" s="1" t="b">
        <f>COUNTIF(  Papers!G:G, RAW_DATA!Q133 ) = 0</f>
        <v>0</v>
      </c>
      <c r="S133" s="1" t="b">
        <f t="shared" si="0"/>
        <v>0</v>
      </c>
    </row>
    <row r="134" spans="1:19" ht="15.75" customHeight="1">
      <c r="A134" s="1" t="s">
        <v>786</v>
      </c>
      <c r="B134" s="1" t="s">
        <v>787</v>
      </c>
      <c r="C134" s="1">
        <v>2019</v>
      </c>
      <c r="D134" s="1" t="s">
        <v>788</v>
      </c>
      <c r="E134" s="1">
        <v>49</v>
      </c>
      <c r="F134" s="1">
        <v>3</v>
      </c>
      <c r="G134" s="1">
        <v>8678448</v>
      </c>
      <c r="H134" s="1">
        <v>209</v>
      </c>
      <c r="I134" s="1">
        <v>218</v>
      </c>
      <c r="J134" s="1">
        <v>371</v>
      </c>
      <c r="K134" s="1" t="s">
        <v>789</v>
      </c>
      <c r="L134" s="1" t="s">
        <v>790</v>
      </c>
      <c r="M134" s="1" t="s">
        <v>54</v>
      </c>
      <c r="N134" s="1" t="s">
        <v>25</v>
      </c>
      <c r="P134" s="1" t="s">
        <v>27</v>
      </c>
      <c r="Q134" s="1" t="s">
        <v>791</v>
      </c>
      <c r="R134" s="1" t="b">
        <f>COUNTIF(  Papers!G:G, RAW_DATA!Q134 ) = 0</f>
        <v>0</v>
      </c>
      <c r="S134" s="1" t="b">
        <f t="shared" si="0"/>
        <v>0</v>
      </c>
    </row>
    <row r="135" spans="1:19" ht="15.75" customHeight="1">
      <c r="A135" s="1" t="s">
        <v>792</v>
      </c>
      <c r="B135" s="1" t="s">
        <v>793</v>
      </c>
      <c r="C135" s="1">
        <v>2020</v>
      </c>
      <c r="D135" s="1" t="s">
        <v>165</v>
      </c>
      <c r="H135" s="1">
        <v>33</v>
      </c>
      <c r="I135" s="1">
        <v>42</v>
      </c>
      <c r="J135" s="1">
        <v>230</v>
      </c>
      <c r="K135" s="1" t="s">
        <v>794</v>
      </c>
      <c r="L135" s="1" t="s">
        <v>795</v>
      </c>
      <c r="M135" s="1" t="s">
        <v>169</v>
      </c>
      <c r="N135" s="1" t="s">
        <v>25</v>
      </c>
      <c r="P135" s="1" t="s">
        <v>27</v>
      </c>
      <c r="Q135" s="1" t="s">
        <v>796</v>
      </c>
      <c r="R135" s="1" t="b">
        <f>COUNTIF(  Papers!G:G, RAW_DATA!Q135 ) = 0</f>
        <v>0</v>
      </c>
      <c r="S135" s="1" t="b">
        <f t="shared" si="0"/>
        <v>0</v>
      </c>
    </row>
    <row r="136" spans="1:19" ht="15.75" customHeight="1">
      <c r="A136" s="1" t="s">
        <v>797</v>
      </c>
      <c r="B136" s="1" t="s">
        <v>798</v>
      </c>
      <c r="C136" s="1">
        <v>2018</v>
      </c>
      <c r="D136" s="1" t="s">
        <v>799</v>
      </c>
      <c r="E136" s="1">
        <v>115</v>
      </c>
      <c r="H136" s="1">
        <v>202</v>
      </c>
      <c r="I136" s="1">
        <v>208</v>
      </c>
      <c r="J136" s="1">
        <v>304</v>
      </c>
      <c r="K136" s="1" t="s">
        <v>800</v>
      </c>
      <c r="L136" s="1" t="s">
        <v>801</v>
      </c>
      <c r="M136" s="1" t="s">
        <v>54</v>
      </c>
      <c r="N136" s="1" t="s">
        <v>25</v>
      </c>
      <c r="P136" s="1" t="s">
        <v>27</v>
      </c>
      <c r="Q136" s="1" t="s">
        <v>802</v>
      </c>
      <c r="R136" s="1" t="b">
        <f>COUNTIF(  Papers!G:G, RAW_DATA!Q136 ) = 0</f>
        <v>0</v>
      </c>
      <c r="S136" s="1" t="b">
        <f t="shared" si="0"/>
        <v>0</v>
      </c>
    </row>
    <row r="137" spans="1:19" ht="15.75" customHeight="1">
      <c r="A137" s="1" t="s">
        <v>803</v>
      </c>
      <c r="B137" s="1" t="s">
        <v>804</v>
      </c>
      <c r="C137" s="1">
        <v>2016</v>
      </c>
      <c r="D137" s="1" t="s">
        <v>84</v>
      </c>
      <c r="E137" s="1">
        <v>58</v>
      </c>
      <c r="F137" s="1">
        <v>3</v>
      </c>
      <c r="H137" s="1">
        <v>401</v>
      </c>
      <c r="I137" s="1">
        <v>415</v>
      </c>
      <c r="J137" s="1">
        <v>347</v>
      </c>
      <c r="K137" s="1" t="s">
        <v>805</v>
      </c>
      <c r="L137" s="1" t="s">
        <v>806</v>
      </c>
      <c r="M137" s="1" t="s">
        <v>54</v>
      </c>
      <c r="N137" s="1" t="s">
        <v>25</v>
      </c>
      <c r="O137" s="1" t="s">
        <v>100</v>
      </c>
      <c r="P137" s="1" t="s">
        <v>27</v>
      </c>
      <c r="Q137" s="1" t="s">
        <v>807</v>
      </c>
      <c r="R137" s="1" t="b">
        <f>COUNTIF(  Papers!G:G, RAW_DATA!Q137 ) = 0</f>
        <v>0</v>
      </c>
      <c r="S137" s="1" t="b">
        <f t="shared" si="0"/>
        <v>0</v>
      </c>
    </row>
    <row r="138" spans="1:19" ht="15.75" customHeight="1">
      <c r="A138" s="1" t="s">
        <v>808</v>
      </c>
      <c r="B138" s="1" t="s">
        <v>809</v>
      </c>
      <c r="C138" s="1">
        <v>2017</v>
      </c>
      <c r="D138" s="1" t="s">
        <v>810</v>
      </c>
      <c r="E138" s="1">
        <v>24</v>
      </c>
      <c r="F138" s="1">
        <v>2</v>
      </c>
      <c r="H138" s="1">
        <v>423</v>
      </c>
      <c r="I138" s="1">
        <v>431</v>
      </c>
      <c r="J138" s="1">
        <v>236</v>
      </c>
      <c r="K138" s="1" t="s">
        <v>811</v>
      </c>
      <c r="L138" s="1" t="s">
        <v>812</v>
      </c>
      <c r="M138" s="1" t="s">
        <v>24</v>
      </c>
      <c r="N138" s="1" t="s">
        <v>25</v>
      </c>
      <c r="O138" s="1" t="s">
        <v>120</v>
      </c>
      <c r="P138" s="1" t="s">
        <v>27</v>
      </c>
      <c r="Q138" s="1" t="s">
        <v>813</v>
      </c>
      <c r="R138" s="1" t="b">
        <f>COUNTIF(  Papers!G:G, RAW_DATA!Q138 ) = 0</f>
        <v>0</v>
      </c>
      <c r="S138" s="1" t="b">
        <f t="shared" si="0"/>
        <v>0</v>
      </c>
    </row>
    <row r="139" spans="1:19" ht="15.75" customHeight="1">
      <c r="A139" s="1" t="s">
        <v>814</v>
      </c>
      <c r="B139" s="1" t="s">
        <v>815</v>
      </c>
      <c r="C139" s="1">
        <v>2024</v>
      </c>
      <c r="D139" s="1" t="s">
        <v>212</v>
      </c>
      <c r="E139" s="1">
        <v>40</v>
      </c>
      <c r="F139" s="1">
        <v>2</v>
      </c>
      <c r="H139" s="1">
        <v>497</v>
      </c>
      <c r="I139" s="1">
        <v>514</v>
      </c>
      <c r="J139" s="1">
        <v>409</v>
      </c>
      <c r="K139" s="1" t="s">
        <v>816</v>
      </c>
      <c r="L139" s="1" t="s">
        <v>817</v>
      </c>
      <c r="M139" s="1" t="s">
        <v>54</v>
      </c>
      <c r="N139" s="1" t="s">
        <v>25</v>
      </c>
      <c r="P139" s="1" t="s">
        <v>27</v>
      </c>
      <c r="Q139" s="1" t="s">
        <v>818</v>
      </c>
      <c r="R139" s="1" t="b">
        <f>COUNTIF(  Papers!G:G, RAW_DATA!Q139 ) = 0</f>
        <v>0</v>
      </c>
      <c r="S139" s="1" t="b">
        <f t="shared" si="0"/>
        <v>0</v>
      </c>
    </row>
    <row r="140" spans="1:19" ht="15.75" customHeight="1">
      <c r="A140" s="1" t="s">
        <v>819</v>
      </c>
      <c r="B140" s="1" t="s">
        <v>820</v>
      </c>
      <c r="C140" s="1">
        <v>2020</v>
      </c>
      <c r="D140" s="1" t="s">
        <v>821</v>
      </c>
      <c r="E140" s="1">
        <v>63</v>
      </c>
      <c r="F140" s="1">
        <v>1</v>
      </c>
      <c r="H140" s="1">
        <v>37</v>
      </c>
      <c r="I140" s="1">
        <v>50</v>
      </c>
      <c r="J140" s="1">
        <v>533</v>
      </c>
      <c r="K140" s="1" t="s">
        <v>822</v>
      </c>
      <c r="L140" s="1" t="s">
        <v>823</v>
      </c>
      <c r="M140" s="1" t="s">
        <v>54</v>
      </c>
      <c r="N140" s="1" t="s">
        <v>25</v>
      </c>
      <c r="P140" s="1" t="s">
        <v>27</v>
      </c>
      <c r="Q140" s="1" t="s">
        <v>824</v>
      </c>
      <c r="R140" s="1" t="b">
        <f>COUNTIF(  Papers!G:G, RAW_DATA!Q140 ) = 0</f>
        <v>0</v>
      </c>
      <c r="S140" s="1" t="b">
        <f t="shared" si="0"/>
        <v>0</v>
      </c>
    </row>
    <row r="141" spans="1:19" ht="15.75" customHeight="1">
      <c r="A141" s="1" t="s">
        <v>825</v>
      </c>
      <c r="B141" s="1" t="s">
        <v>826</v>
      </c>
      <c r="C141" s="1">
        <v>2023</v>
      </c>
      <c r="D141" s="1" t="s">
        <v>709</v>
      </c>
      <c r="E141" s="1">
        <v>6</v>
      </c>
      <c r="F141" s="1">
        <v>1</v>
      </c>
      <c r="G141" s="1">
        <v>111</v>
      </c>
      <c r="J141" s="1">
        <v>235</v>
      </c>
      <c r="K141" s="1" t="s">
        <v>827</v>
      </c>
      <c r="L141" s="1" t="s">
        <v>828</v>
      </c>
      <c r="M141" s="1" t="s">
        <v>24</v>
      </c>
      <c r="N141" s="1" t="s">
        <v>25</v>
      </c>
      <c r="O141" s="1" t="s">
        <v>26</v>
      </c>
      <c r="P141" s="1" t="s">
        <v>27</v>
      </c>
      <c r="Q141" s="1" t="s">
        <v>829</v>
      </c>
      <c r="R141" s="1" t="b">
        <f>COUNTIF(  Papers!G:G, RAW_DATA!Q141 ) = 0</f>
        <v>0</v>
      </c>
      <c r="S141" s="1" t="b">
        <f t="shared" si="0"/>
        <v>0</v>
      </c>
    </row>
    <row r="142" spans="1:19" ht="15.75" customHeight="1">
      <c r="A142" s="1" t="s">
        <v>830</v>
      </c>
      <c r="B142" s="1" t="s">
        <v>831</v>
      </c>
      <c r="C142" s="1">
        <v>2019</v>
      </c>
      <c r="D142" s="1" t="s">
        <v>436</v>
      </c>
      <c r="E142" s="1">
        <v>3</v>
      </c>
      <c r="F142" s="1" t="s">
        <v>832</v>
      </c>
      <c r="G142" s="1">
        <v>50</v>
      </c>
      <c r="J142" s="1">
        <v>283</v>
      </c>
      <c r="K142" s="1" t="s">
        <v>833</v>
      </c>
      <c r="L142" s="1" t="s">
        <v>834</v>
      </c>
      <c r="M142" s="1" t="s">
        <v>54</v>
      </c>
      <c r="N142" s="1" t="s">
        <v>25</v>
      </c>
      <c r="P142" s="1" t="s">
        <v>27</v>
      </c>
      <c r="Q142" s="1" t="s">
        <v>835</v>
      </c>
      <c r="R142" s="1" t="b">
        <f>COUNTIF(  Papers!G:G, RAW_DATA!Q142 ) = 0</f>
        <v>0</v>
      </c>
      <c r="S142" s="1" t="b">
        <f t="shared" si="0"/>
        <v>0</v>
      </c>
    </row>
    <row r="143" spans="1:19" ht="15.75" customHeight="1">
      <c r="A143" s="1" t="s">
        <v>836</v>
      </c>
      <c r="B143" s="1" t="s">
        <v>837</v>
      </c>
      <c r="C143" s="1">
        <v>2019</v>
      </c>
      <c r="D143" s="1" t="s">
        <v>838</v>
      </c>
      <c r="E143" s="1">
        <v>7</v>
      </c>
      <c r="H143" s="1">
        <v>2</v>
      </c>
      <c r="I143" s="1">
        <v>11</v>
      </c>
      <c r="J143" s="1">
        <v>401</v>
      </c>
      <c r="K143" s="1" t="s">
        <v>839</v>
      </c>
      <c r="L143" s="1" t="s">
        <v>840</v>
      </c>
      <c r="M143" s="1" t="s">
        <v>169</v>
      </c>
      <c r="N143" s="1" t="s">
        <v>25</v>
      </c>
      <c r="O143" s="1" t="s">
        <v>41</v>
      </c>
      <c r="P143" s="1" t="s">
        <v>27</v>
      </c>
      <c r="Q143" s="1" t="s">
        <v>841</v>
      </c>
      <c r="R143" s="1" t="b">
        <f>COUNTIF(  Papers!G:G, RAW_DATA!Q143 ) = 0</f>
        <v>0</v>
      </c>
      <c r="S143" s="1" t="b">
        <f t="shared" si="0"/>
        <v>0</v>
      </c>
    </row>
    <row r="144" spans="1:19" ht="15.75" customHeight="1">
      <c r="A144" s="1" t="s">
        <v>842</v>
      </c>
      <c r="B144" s="1" t="s">
        <v>843</v>
      </c>
      <c r="C144" s="1">
        <v>2020</v>
      </c>
      <c r="D144" s="1" t="s">
        <v>844</v>
      </c>
      <c r="E144" s="1">
        <v>63</v>
      </c>
      <c r="G144" s="1">
        <v>101421</v>
      </c>
      <c r="J144" s="1">
        <v>260</v>
      </c>
      <c r="K144" s="1" t="s">
        <v>845</v>
      </c>
      <c r="L144" s="1" t="s">
        <v>846</v>
      </c>
      <c r="M144" s="1" t="s">
        <v>54</v>
      </c>
      <c r="N144" s="1" t="s">
        <v>25</v>
      </c>
      <c r="O144" s="1" t="s">
        <v>100</v>
      </c>
      <c r="P144" s="1" t="s">
        <v>27</v>
      </c>
      <c r="Q144" s="1" t="s">
        <v>847</v>
      </c>
      <c r="R144" s="1" t="b">
        <f>COUNTIF(  Papers!G:G, RAW_DATA!Q144 ) = 0</f>
        <v>0</v>
      </c>
      <c r="S144" s="1" t="b">
        <f t="shared" si="0"/>
        <v>0</v>
      </c>
    </row>
    <row r="145" spans="1:19" ht="15.75" customHeight="1">
      <c r="A145" s="1" t="s">
        <v>848</v>
      </c>
      <c r="B145" s="1" t="s">
        <v>849</v>
      </c>
      <c r="C145" s="1">
        <v>2022</v>
      </c>
      <c r="D145" s="1" t="s">
        <v>850</v>
      </c>
      <c r="E145" s="1">
        <v>250</v>
      </c>
      <c r="G145" s="1">
        <v>108618</v>
      </c>
      <c r="J145" s="1">
        <v>263</v>
      </c>
      <c r="K145" s="1" t="s">
        <v>851</v>
      </c>
      <c r="L145" s="1" t="s">
        <v>852</v>
      </c>
      <c r="M145" s="1" t="s">
        <v>54</v>
      </c>
      <c r="N145" s="1" t="s">
        <v>25</v>
      </c>
      <c r="O145" s="1" t="s">
        <v>100</v>
      </c>
      <c r="P145" s="1" t="s">
        <v>27</v>
      </c>
      <c r="Q145" s="1" t="s">
        <v>853</v>
      </c>
      <c r="R145" s="1" t="b">
        <f>COUNTIF(  Papers!G:G, RAW_DATA!Q145 ) = 0</f>
        <v>0</v>
      </c>
      <c r="S145" s="1" t="b">
        <f t="shared" si="0"/>
        <v>0</v>
      </c>
    </row>
    <row r="146" spans="1:19" ht="15.75" customHeight="1">
      <c r="A146" s="1" t="s">
        <v>854</v>
      </c>
      <c r="B146" s="1" t="s">
        <v>855</v>
      </c>
      <c r="C146" s="1">
        <v>2021</v>
      </c>
      <c r="D146" s="1" t="s">
        <v>856</v>
      </c>
      <c r="E146" s="1">
        <v>32</v>
      </c>
      <c r="F146" s="1">
        <v>11</v>
      </c>
      <c r="H146" s="1">
        <v>4793</v>
      </c>
      <c r="I146" s="1">
        <v>4813</v>
      </c>
      <c r="J146" s="1">
        <v>1631</v>
      </c>
      <c r="K146" s="1" t="s">
        <v>857</v>
      </c>
      <c r="L146" s="1" t="s">
        <v>858</v>
      </c>
      <c r="M146" s="1" t="s">
        <v>54</v>
      </c>
      <c r="N146" s="1" t="s">
        <v>25</v>
      </c>
      <c r="O146" s="1" t="s">
        <v>100</v>
      </c>
      <c r="P146" s="1" t="s">
        <v>27</v>
      </c>
      <c r="Q146" s="1" t="s">
        <v>859</v>
      </c>
      <c r="R146" s="1" t="b">
        <f>COUNTIF(  Papers!G:G, RAW_DATA!Q146 ) = 0</f>
        <v>0</v>
      </c>
      <c r="S146" s="1" t="b">
        <f t="shared" si="0"/>
        <v>0</v>
      </c>
    </row>
    <row r="147" spans="1:19" ht="15.75" customHeight="1">
      <c r="A147" s="1" t="s">
        <v>860</v>
      </c>
      <c r="B147" s="1" t="s">
        <v>861</v>
      </c>
      <c r="C147" s="1">
        <v>2022</v>
      </c>
      <c r="D147" s="1" t="s">
        <v>862</v>
      </c>
      <c r="E147" s="1">
        <v>43</v>
      </c>
      <c r="F147" s="1">
        <v>1</v>
      </c>
      <c r="H147" s="1">
        <v>75</v>
      </c>
      <c r="I147" s="1">
        <v>88</v>
      </c>
      <c r="J147" s="1">
        <v>268</v>
      </c>
      <c r="K147" s="1" t="s">
        <v>863</v>
      </c>
      <c r="L147" s="1" t="s">
        <v>864</v>
      </c>
      <c r="M147" s="1" t="s">
        <v>54</v>
      </c>
      <c r="N147" s="1" t="s">
        <v>25</v>
      </c>
      <c r="O147" s="1" t="s">
        <v>100</v>
      </c>
      <c r="P147" s="1" t="s">
        <v>27</v>
      </c>
      <c r="Q147" s="1" t="s">
        <v>865</v>
      </c>
      <c r="R147" s="1" t="b">
        <f>COUNTIF(  Papers!G:G, RAW_DATA!Q147 ) = 0</f>
        <v>0</v>
      </c>
      <c r="S147" s="1" t="b">
        <f t="shared" si="0"/>
        <v>0</v>
      </c>
    </row>
    <row r="148" spans="1:19" ht="15.75" customHeight="1">
      <c r="A148" s="1" t="s">
        <v>866</v>
      </c>
      <c r="B148" s="1" t="s">
        <v>867</v>
      </c>
      <c r="C148" s="1">
        <v>2021</v>
      </c>
      <c r="D148" s="1" t="s">
        <v>173</v>
      </c>
      <c r="E148" s="1">
        <v>11</v>
      </c>
      <c r="F148" s="3">
        <v>46085</v>
      </c>
      <c r="G148" s="1">
        <v>24</v>
      </c>
      <c r="J148" s="1">
        <v>558</v>
      </c>
      <c r="K148" s="1" t="s">
        <v>868</v>
      </c>
      <c r="L148" s="1" t="s">
        <v>869</v>
      </c>
      <c r="M148" s="1" t="s">
        <v>54</v>
      </c>
      <c r="N148" s="1" t="s">
        <v>25</v>
      </c>
      <c r="O148" s="1" t="s">
        <v>113</v>
      </c>
      <c r="P148" s="1" t="s">
        <v>27</v>
      </c>
      <c r="Q148" s="1" t="s">
        <v>870</v>
      </c>
      <c r="R148" s="1" t="b">
        <f>COUNTIF(  Papers!G:G, RAW_DATA!Q148 ) = 0</f>
        <v>0</v>
      </c>
      <c r="S148" s="1" t="b">
        <f t="shared" si="0"/>
        <v>0</v>
      </c>
    </row>
    <row r="149" spans="1:19" ht="15.75" customHeight="1">
      <c r="A149" s="1" t="s">
        <v>871</v>
      </c>
      <c r="B149" s="1" t="s">
        <v>872</v>
      </c>
      <c r="C149" s="1">
        <v>2021</v>
      </c>
      <c r="D149" s="1" t="s">
        <v>873</v>
      </c>
      <c r="E149" s="1">
        <v>57</v>
      </c>
      <c r="G149" s="1">
        <v>101994</v>
      </c>
      <c r="J149" s="1">
        <v>3495</v>
      </c>
      <c r="K149" s="1" t="s">
        <v>874</v>
      </c>
      <c r="L149" s="1" t="s">
        <v>875</v>
      </c>
      <c r="M149" s="1" t="s">
        <v>54</v>
      </c>
      <c r="N149" s="1" t="s">
        <v>25</v>
      </c>
      <c r="O149" s="1" t="s">
        <v>100</v>
      </c>
      <c r="P149" s="1" t="s">
        <v>27</v>
      </c>
      <c r="Q149" s="1" t="s">
        <v>876</v>
      </c>
      <c r="R149" s="1" t="b">
        <f>COUNTIF(  Papers!G:G, RAW_DATA!Q149 ) = 0</f>
        <v>0</v>
      </c>
      <c r="S149" s="1" t="b">
        <f t="shared" si="0"/>
        <v>0</v>
      </c>
    </row>
    <row r="150" spans="1:19" ht="15.75" customHeight="1">
      <c r="A150" s="1" t="s">
        <v>877</v>
      </c>
      <c r="B150" s="1" t="s">
        <v>878</v>
      </c>
      <c r="C150" s="1">
        <v>2024</v>
      </c>
      <c r="D150" s="1" t="s">
        <v>77</v>
      </c>
      <c r="E150" s="1">
        <v>26</v>
      </c>
      <c r="F150" s="1">
        <v>1</v>
      </c>
      <c r="G150" s="1" t="s">
        <v>879</v>
      </c>
      <c r="J150" s="1">
        <v>256</v>
      </c>
      <c r="K150" s="1" t="s">
        <v>880</v>
      </c>
      <c r="L150" s="1" t="s">
        <v>881</v>
      </c>
      <c r="M150" s="1" t="s">
        <v>24</v>
      </c>
      <c r="N150" s="1" t="s">
        <v>25</v>
      </c>
      <c r="O150" s="1" t="s">
        <v>26</v>
      </c>
      <c r="P150" s="1" t="s">
        <v>27</v>
      </c>
      <c r="Q150" s="1" t="s">
        <v>882</v>
      </c>
      <c r="R150" s="1" t="b">
        <f>COUNTIF(  Papers!G:G, RAW_DATA!Q150 ) = 0</f>
        <v>0</v>
      </c>
      <c r="S150" s="1" t="b">
        <f t="shared" si="0"/>
        <v>0</v>
      </c>
    </row>
    <row r="151" spans="1:19" ht="15.75" customHeight="1">
      <c r="A151" s="1" t="s">
        <v>883</v>
      </c>
      <c r="B151" s="1" t="s">
        <v>884</v>
      </c>
      <c r="C151" s="1">
        <v>2018</v>
      </c>
      <c r="D151" s="1" t="s">
        <v>90</v>
      </c>
      <c r="E151" s="1">
        <v>9</v>
      </c>
      <c r="F151" s="1" t="s">
        <v>885</v>
      </c>
      <c r="G151" s="1">
        <v>1336</v>
      </c>
      <c r="J151" s="1">
        <v>275</v>
      </c>
      <c r="K151" s="1" t="s">
        <v>886</v>
      </c>
      <c r="L151" s="1" t="s">
        <v>887</v>
      </c>
      <c r="M151" s="1" t="s">
        <v>54</v>
      </c>
      <c r="N151" s="1" t="s">
        <v>25</v>
      </c>
      <c r="O151" s="1" t="s">
        <v>26</v>
      </c>
      <c r="P151" s="1" t="s">
        <v>27</v>
      </c>
      <c r="Q151" s="1" t="s">
        <v>888</v>
      </c>
      <c r="R151" s="1" t="b">
        <f>COUNTIF(  Papers!G:G, RAW_DATA!Q151 ) = 0</f>
        <v>0</v>
      </c>
      <c r="S151" s="1" t="b">
        <f t="shared" si="0"/>
        <v>0</v>
      </c>
    </row>
    <row r="152" spans="1:19" ht="15.75" customHeight="1">
      <c r="A152" s="1" t="s">
        <v>889</v>
      </c>
      <c r="B152" s="1" t="s">
        <v>890</v>
      </c>
      <c r="C152" s="1">
        <v>2022</v>
      </c>
      <c r="D152" s="1" t="s">
        <v>84</v>
      </c>
      <c r="E152" s="1">
        <v>64</v>
      </c>
      <c r="F152" s="1">
        <v>5</v>
      </c>
      <c r="H152" s="1">
        <v>904</v>
      </c>
      <c r="I152" s="1">
        <v>938</v>
      </c>
      <c r="J152" s="1">
        <v>443</v>
      </c>
      <c r="K152" s="1" t="s">
        <v>891</v>
      </c>
      <c r="L152" s="1" t="s">
        <v>892</v>
      </c>
      <c r="M152" s="1" t="s">
        <v>54</v>
      </c>
      <c r="N152" s="1" t="s">
        <v>25</v>
      </c>
      <c r="O152" s="1" t="s">
        <v>100</v>
      </c>
      <c r="P152" s="1" t="s">
        <v>27</v>
      </c>
      <c r="Q152" s="1" t="s">
        <v>893</v>
      </c>
      <c r="R152" s="1" t="b">
        <f>COUNTIF(  Papers!G:G, RAW_DATA!Q152 ) = 0</f>
        <v>0</v>
      </c>
      <c r="S152" s="1" t="b">
        <f t="shared" si="0"/>
        <v>0</v>
      </c>
    </row>
    <row r="153" spans="1:19" ht="15.75" customHeight="1">
      <c r="A153" s="1" t="s">
        <v>894</v>
      </c>
      <c r="B153" s="1" t="s">
        <v>895</v>
      </c>
      <c r="C153" s="1">
        <v>2017</v>
      </c>
      <c r="D153" s="1" t="s">
        <v>896</v>
      </c>
      <c r="E153" s="1">
        <v>18</v>
      </c>
      <c r="F153" s="1">
        <v>2</v>
      </c>
      <c r="H153" s="1">
        <v>153</v>
      </c>
      <c r="I153" s="1">
        <v>179</v>
      </c>
      <c r="J153" s="1">
        <v>380</v>
      </c>
      <c r="K153" s="1" t="s">
        <v>897</v>
      </c>
      <c r="L153" s="1" t="s">
        <v>898</v>
      </c>
      <c r="M153" s="1" t="s">
        <v>24</v>
      </c>
      <c r="N153" s="1" t="s">
        <v>25</v>
      </c>
      <c r="O153" s="1" t="s">
        <v>324</v>
      </c>
      <c r="P153" s="1" t="s">
        <v>27</v>
      </c>
      <c r="Q153" s="1" t="s">
        <v>899</v>
      </c>
      <c r="R153" s="1" t="b">
        <f>COUNTIF(  Papers!G:G, RAW_DATA!Q153 ) = 0</f>
        <v>0</v>
      </c>
      <c r="S153" s="1" t="b">
        <f t="shared" si="0"/>
        <v>0</v>
      </c>
    </row>
    <row r="154" spans="1:19" ht="15.75" customHeight="1">
      <c r="A154" s="1" t="s">
        <v>900</v>
      </c>
      <c r="B154" s="1" t="s">
        <v>901</v>
      </c>
      <c r="C154" s="1">
        <v>2016</v>
      </c>
      <c r="D154" s="1" t="s">
        <v>304</v>
      </c>
      <c r="E154" s="1">
        <v>39</v>
      </c>
      <c r="H154" s="1">
        <v>19</v>
      </c>
      <c r="I154" s="1">
        <v>32</v>
      </c>
      <c r="J154" s="1">
        <v>227</v>
      </c>
      <c r="K154" s="1" t="s">
        <v>902</v>
      </c>
      <c r="L154" s="1" t="s">
        <v>903</v>
      </c>
      <c r="M154" s="1" t="s">
        <v>54</v>
      </c>
      <c r="N154" s="1" t="s">
        <v>25</v>
      </c>
      <c r="O154" s="1" t="s">
        <v>113</v>
      </c>
      <c r="P154" s="1" t="s">
        <v>27</v>
      </c>
      <c r="Q154" s="1" t="s">
        <v>904</v>
      </c>
      <c r="R154" s="1" t="b">
        <f>COUNTIF(  Papers!G:G, RAW_DATA!Q154 ) = 0</f>
        <v>0</v>
      </c>
      <c r="S154" s="1" t="b">
        <f t="shared" si="0"/>
        <v>0</v>
      </c>
    </row>
    <row r="155" spans="1:19" ht="15.75" customHeight="1">
      <c r="A155" s="1" t="s">
        <v>905</v>
      </c>
      <c r="B155" s="1" t="s">
        <v>906</v>
      </c>
      <c r="C155" s="1">
        <v>2021</v>
      </c>
      <c r="D155" s="1" t="s">
        <v>117</v>
      </c>
      <c r="E155" s="1">
        <v>291</v>
      </c>
      <c r="G155" s="1">
        <v>103404</v>
      </c>
      <c r="J155" s="1">
        <v>370</v>
      </c>
      <c r="K155" s="1" t="s">
        <v>907</v>
      </c>
      <c r="L155" s="1" t="s">
        <v>908</v>
      </c>
      <c r="M155" s="1" t="s">
        <v>54</v>
      </c>
      <c r="N155" s="1" t="s">
        <v>25</v>
      </c>
      <c r="O155" s="1" t="s">
        <v>100</v>
      </c>
      <c r="P155" s="1" t="s">
        <v>27</v>
      </c>
      <c r="Q155" s="1" t="s">
        <v>909</v>
      </c>
      <c r="R155" s="1" t="b">
        <f>COUNTIF(  Papers!G:G, RAW_DATA!Q155 ) = 0</f>
        <v>0</v>
      </c>
      <c r="S155" s="1" t="b">
        <f t="shared" si="0"/>
        <v>0</v>
      </c>
    </row>
    <row r="156" spans="1:19" ht="15.75" customHeight="1">
      <c r="A156" s="1" t="s">
        <v>910</v>
      </c>
      <c r="B156" s="1" t="s">
        <v>911</v>
      </c>
      <c r="C156" s="1">
        <v>2016</v>
      </c>
      <c r="D156" s="1" t="s">
        <v>84</v>
      </c>
      <c r="E156" s="1">
        <v>58</v>
      </c>
      <c r="F156" s="1">
        <v>3</v>
      </c>
      <c r="H156" s="1">
        <v>377</v>
      </c>
      <c r="I156" s="1">
        <v>400</v>
      </c>
      <c r="J156" s="1">
        <v>659</v>
      </c>
      <c r="K156" s="1" t="s">
        <v>912</v>
      </c>
      <c r="L156" s="1" t="s">
        <v>913</v>
      </c>
      <c r="M156" s="1" t="s">
        <v>54</v>
      </c>
      <c r="N156" s="1" t="s">
        <v>25</v>
      </c>
      <c r="O156" s="1" t="s">
        <v>113</v>
      </c>
      <c r="P156" s="1" t="s">
        <v>27</v>
      </c>
      <c r="Q156" s="1" t="s">
        <v>914</v>
      </c>
      <c r="R156" s="1" t="b">
        <f>COUNTIF(  Papers!G:G, RAW_DATA!Q156 ) = 0</f>
        <v>0</v>
      </c>
      <c r="S156" s="1" t="b">
        <f t="shared" si="0"/>
        <v>0</v>
      </c>
    </row>
    <row r="157" spans="1:19" ht="15.75" customHeight="1">
      <c r="A157" s="1" t="s">
        <v>915</v>
      </c>
      <c r="B157" s="1" t="s">
        <v>916</v>
      </c>
      <c r="C157" s="1">
        <v>2021</v>
      </c>
      <c r="D157" s="1" t="s">
        <v>455</v>
      </c>
      <c r="E157" s="1">
        <v>38</v>
      </c>
      <c r="F157" s="1">
        <v>4</v>
      </c>
      <c r="H157" s="1">
        <v>626</v>
      </c>
      <c r="I157" s="1">
        <v>642</v>
      </c>
      <c r="J157" s="1">
        <v>416</v>
      </c>
      <c r="K157" s="1" t="s">
        <v>917</v>
      </c>
      <c r="L157" s="1" t="s">
        <v>918</v>
      </c>
      <c r="M157" s="1" t="s">
        <v>54</v>
      </c>
      <c r="N157" s="1" t="s">
        <v>25</v>
      </c>
      <c r="O157" s="1" t="s">
        <v>100</v>
      </c>
      <c r="P157" s="1" t="s">
        <v>27</v>
      </c>
      <c r="Q157" s="1" t="s">
        <v>919</v>
      </c>
      <c r="R157" s="1" t="b">
        <f>COUNTIF(  Papers!G:G, RAW_DATA!Q157 ) = 0</f>
        <v>0</v>
      </c>
      <c r="S157" s="1" t="b">
        <f t="shared" si="0"/>
        <v>0</v>
      </c>
    </row>
    <row r="158" spans="1:19" ht="15.75" customHeight="1">
      <c r="A158" s="1" t="s">
        <v>920</v>
      </c>
      <c r="B158" s="1" t="s">
        <v>921</v>
      </c>
      <c r="C158" s="1">
        <v>2019</v>
      </c>
      <c r="D158" s="1" t="s">
        <v>247</v>
      </c>
      <c r="J158" s="1">
        <v>288</v>
      </c>
      <c r="K158" s="1" t="s">
        <v>922</v>
      </c>
      <c r="L158" s="1" t="s">
        <v>923</v>
      </c>
      <c r="M158" s="1" t="s">
        <v>169</v>
      </c>
      <c r="N158" s="1" t="s">
        <v>25</v>
      </c>
      <c r="P158" s="1" t="s">
        <v>27</v>
      </c>
      <c r="Q158" s="1" t="s">
        <v>924</v>
      </c>
      <c r="R158" s="1" t="b">
        <f>COUNTIF(  Papers!G:G, RAW_DATA!Q158 ) = 0</f>
        <v>0</v>
      </c>
      <c r="S158" s="1" t="b">
        <f t="shared" si="0"/>
        <v>0</v>
      </c>
    </row>
    <row r="159" spans="1:19" ht="15.75" customHeight="1">
      <c r="A159" s="1" t="s">
        <v>925</v>
      </c>
      <c r="B159" s="1" t="s">
        <v>926</v>
      </c>
      <c r="C159" s="1">
        <v>2023</v>
      </c>
      <c r="D159" s="1" t="s">
        <v>927</v>
      </c>
      <c r="E159" s="1">
        <v>13</v>
      </c>
      <c r="F159" s="1">
        <v>12</v>
      </c>
      <c r="G159" s="1">
        <v>7082</v>
      </c>
      <c r="J159" s="1">
        <v>545</v>
      </c>
      <c r="K159" s="1" t="s">
        <v>928</v>
      </c>
      <c r="L159" s="1" t="s">
        <v>929</v>
      </c>
      <c r="M159" s="1" t="s">
        <v>24</v>
      </c>
      <c r="N159" s="1" t="s">
        <v>25</v>
      </c>
      <c r="O159" s="1" t="s">
        <v>26</v>
      </c>
      <c r="P159" s="1" t="s">
        <v>27</v>
      </c>
      <c r="Q159" s="1" t="s">
        <v>930</v>
      </c>
      <c r="R159" s="1" t="b">
        <f>COUNTIF(  Papers!G:G, RAW_DATA!Q159 ) = 0</f>
        <v>0</v>
      </c>
      <c r="S159" s="1" t="b">
        <f t="shared" si="0"/>
        <v>0</v>
      </c>
    </row>
    <row r="160" spans="1:19" ht="15.75" customHeight="1">
      <c r="A160" s="1" t="s">
        <v>931</v>
      </c>
      <c r="B160" s="1" t="s">
        <v>932</v>
      </c>
      <c r="C160" s="1">
        <v>2019</v>
      </c>
      <c r="D160" s="1" t="s">
        <v>247</v>
      </c>
      <c r="J160" s="1">
        <v>359</v>
      </c>
      <c r="K160" s="1" t="s">
        <v>933</v>
      </c>
      <c r="L160" s="1" t="s">
        <v>934</v>
      </c>
      <c r="M160" s="1" t="s">
        <v>169</v>
      </c>
      <c r="N160" s="1" t="s">
        <v>25</v>
      </c>
      <c r="O160" s="1" t="s">
        <v>41</v>
      </c>
      <c r="P160" s="1" t="s">
        <v>27</v>
      </c>
      <c r="Q160" s="1" t="s">
        <v>935</v>
      </c>
      <c r="R160" s="1" t="b">
        <f>COUNTIF(  Papers!G:G, RAW_DATA!Q160 ) = 0</f>
        <v>0</v>
      </c>
      <c r="S160" s="1" t="b">
        <f t="shared" si="0"/>
        <v>0</v>
      </c>
    </row>
    <row r="161" spans="1:19" ht="15.75" customHeight="1">
      <c r="A161" s="1" t="s">
        <v>936</v>
      </c>
      <c r="B161" s="1" t="s">
        <v>937</v>
      </c>
      <c r="C161" s="1">
        <v>2021</v>
      </c>
      <c r="D161" s="1" t="s">
        <v>436</v>
      </c>
      <c r="E161" s="1">
        <v>4</v>
      </c>
      <c r="F161" s="1" t="s">
        <v>938</v>
      </c>
      <c r="G161" s="1">
        <v>246</v>
      </c>
      <c r="J161" s="1">
        <v>230</v>
      </c>
      <c r="K161" s="1" t="s">
        <v>939</v>
      </c>
      <c r="L161" s="1" t="s">
        <v>940</v>
      </c>
      <c r="M161" s="1" t="s">
        <v>54</v>
      </c>
      <c r="N161" s="1" t="s">
        <v>25</v>
      </c>
      <c r="P161" s="1" t="s">
        <v>27</v>
      </c>
      <c r="Q161" s="1" t="s">
        <v>941</v>
      </c>
      <c r="R161" s="1" t="b">
        <f>COUNTIF(  Papers!G:G, RAW_DATA!Q161 ) = 0</f>
        <v>0</v>
      </c>
      <c r="S161" s="1" t="b">
        <f t="shared" si="0"/>
        <v>0</v>
      </c>
    </row>
    <row r="162" spans="1:19" ht="15.75" customHeight="1">
      <c r="A162" s="1" t="s">
        <v>942</v>
      </c>
      <c r="B162" s="1" t="s">
        <v>943</v>
      </c>
      <c r="C162" s="1">
        <v>2016</v>
      </c>
      <c r="D162" s="1" t="s">
        <v>944</v>
      </c>
      <c r="E162" s="1">
        <v>22</v>
      </c>
      <c r="F162" s="1">
        <v>3</v>
      </c>
      <c r="H162" s="1">
        <v>331</v>
      </c>
      <c r="I162" s="1">
        <v>349</v>
      </c>
      <c r="J162" s="1">
        <v>531</v>
      </c>
      <c r="K162" s="1" t="s">
        <v>945</v>
      </c>
      <c r="L162" s="1" t="s">
        <v>946</v>
      </c>
      <c r="M162" s="1" t="s">
        <v>54</v>
      </c>
      <c r="N162" s="1" t="s">
        <v>25</v>
      </c>
      <c r="O162" s="1" t="s">
        <v>55</v>
      </c>
      <c r="P162" s="1" t="s">
        <v>27</v>
      </c>
      <c r="Q162" s="1" t="s">
        <v>947</v>
      </c>
      <c r="R162" s="1" t="b">
        <f>COUNTIF(  Papers!G:G, RAW_DATA!Q162 ) = 0</f>
        <v>0</v>
      </c>
      <c r="S162" s="1" t="b">
        <f t="shared" si="0"/>
        <v>0</v>
      </c>
    </row>
    <row r="163" spans="1:19" ht="15.75" customHeight="1">
      <c r="A163" s="1" t="s">
        <v>948</v>
      </c>
      <c r="B163" s="1" t="s">
        <v>949</v>
      </c>
      <c r="C163" s="1">
        <v>2023</v>
      </c>
      <c r="D163" s="1" t="s">
        <v>21</v>
      </c>
      <c r="E163" s="1">
        <v>11</v>
      </c>
      <c r="H163" s="1">
        <v>78994</v>
      </c>
      <c r="I163" s="1">
        <v>79015</v>
      </c>
      <c r="J163" s="1">
        <v>233</v>
      </c>
      <c r="K163" s="1" t="s">
        <v>950</v>
      </c>
      <c r="L163" s="1" t="s">
        <v>951</v>
      </c>
      <c r="M163" s="1" t="s">
        <v>54</v>
      </c>
      <c r="N163" s="1" t="s">
        <v>25</v>
      </c>
      <c r="O163" s="1" t="s">
        <v>26</v>
      </c>
      <c r="P163" s="1" t="s">
        <v>27</v>
      </c>
      <c r="Q163" s="1" t="s">
        <v>952</v>
      </c>
      <c r="R163" s="1" t="b">
        <f>COUNTIF(  Papers!G:G, RAW_DATA!Q163 ) = 0</f>
        <v>0</v>
      </c>
      <c r="S163" s="1" t="b">
        <f t="shared" si="0"/>
        <v>0</v>
      </c>
    </row>
    <row r="164" spans="1:19" ht="15.75" customHeight="1">
      <c r="A164" s="1" t="s">
        <v>953</v>
      </c>
      <c r="B164" s="1" t="s">
        <v>954</v>
      </c>
      <c r="C164" s="1">
        <v>2022</v>
      </c>
      <c r="D164" s="1" t="s">
        <v>955</v>
      </c>
      <c r="E164" s="1">
        <v>23</v>
      </c>
      <c r="F164" s="1">
        <v>8</v>
      </c>
      <c r="H164" s="1">
        <v>10142</v>
      </c>
      <c r="I164" s="1">
        <v>10162</v>
      </c>
      <c r="J164" s="1">
        <v>273</v>
      </c>
      <c r="K164" s="1" t="s">
        <v>956</v>
      </c>
      <c r="L164" s="1" t="s">
        <v>957</v>
      </c>
      <c r="M164" s="1" t="s">
        <v>54</v>
      </c>
      <c r="N164" s="1" t="s">
        <v>25</v>
      </c>
      <c r="O164" s="1" t="s">
        <v>113</v>
      </c>
      <c r="P164" s="1" t="s">
        <v>27</v>
      </c>
      <c r="Q164" s="1" t="s">
        <v>958</v>
      </c>
      <c r="R164" s="1" t="b">
        <f>COUNTIF(  Papers!G:G, RAW_DATA!Q164 ) = 0</f>
        <v>0</v>
      </c>
      <c r="S164" s="1" t="b">
        <f t="shared" si="0"/>
        <v>0</v>
      </c>
    </row>
    <row r="165" spans="1:19" ht="15.75" customHeight="1">
      <c r="A165" s="1" t="s">
        <v>959</v>
      </c>
      <c r="B165" s="1" t="s">
        <v>960</v>
      </c>
      <c r="C165" s="1">
        <v>2021</v>
      </c>
      <c r="D165" s="1" t="s">
        <v>130</v>
      </c>
      <c r="E165" s="1">
        <v>123</v>
      </c>
      <c r="H165" s="1">
        <v>588</v>
      </c>
      <c r="I165" s="1">
        <v>603</v>
      </c>
      <c r="J165" s="1">
        <v>243</v>
      </c>
      <c r="K165" s="1" t="s">
        <v>961</v>
      </c>
      <c r="L165" s="1" t="s">
        <v>962</v>
      </c>
      <c r="M165" s="1" t="s">
        <v>54</v>
      </c>
      <c r="N165" s="1" t="s">
        <v>25</v>
      </c>
      <c r="O165" s="1" t="s">
        <v>55</v>
      </c>
      <c r="P165" s="1" t="s">
        <v>27</v>
      </c>
      <c r="Q165" s="1" t="s">
        <v>963</v>
      </c>
      <c r="R165" s="1" t="b">
        <f>COUNTIF(  Papers!G:G, RAW_DATA!Q165 ) = 0</f>
        <v>0</v>
      </c>
      <c r="S165" s="1" t="b">
        <f t="shared" si="0"/>
        <v>0</v>
      </c>
    </row>
    <row r="166" spans="1:19" ht="15.75" customHeight="1">
      <c r="A166" s="1" t="s">
        <v>422</v>
      </c>
      <c r="B166" s="1" t="s">
        <v>964</v>
      </c>
      <c r="C166" s="1">
        <v>2018</v>
      </c>
      <c r="D166" s="1" t="s">
        <v>965</v>
      </c>
      <c r="E166" s="1">
        <v>31</v>
      </c>
      <c r="F166" s="1">
        <v>2</v>
      </c>
      <c r="H166" s="1">
        <v>47</v>
      </c>
      <c r="I166" s="1">
        <v>53</v>
      </c>
      <c r="J166" s="1">
        <v>525</v>
      </c>
      <c r="L166" s="1" t="s">
        <v>966</v>
      </c>
      <c r="M166" s="1" t="s">
        <v>24</v>
      </c>
      <c r="N166" s="1" t="s">
        <v>25</v>
      </c>
      <c r="P166" s="1" t="s">
        <v>27</v>
      </c>
      <c r="Q166" s="1" t="s">
        <v>967</v>
      </c>
      <c r="R166" s="1" t="b">
        <f>COUNTIF(  Papers!G:G, RAW_DATA!Q166 ) = 0</f>
        <v>0</v>
      </c>
      <c r="S166" s="1" t="b">
        <f t="shared" si="0"/>
        <v>0</v>
      </c>
    </row>
    <row r="167" spans="1:19" ht="15.75" customHeight="1">
      <c r="A167" s="1" t="s">
        <v>968</v>
      </c>
      <c r="B167" s="1" t="s">
        <v>969</v>
      </c>
      <c r="C167" s="1">
        <v>2018</v>
      </c>
      <c r="D167" s="1" t="s">
        <v>970</v>
      </c>
      <c r="J167" s="1">
        <v>527</v>
      </c>
      <c r="L167" s="1" t="s">
        <v>971</v>
      </c>
      <c r="M167" s="1" t="s">
        <v>169</v>
      </c>
      <c r="N167" s="1" t="s">
        <v>25</v>
      </c>
      <c r="P167" s="1" t="s">
        <v>27</v>
      </c>
      <c r="Q167" s="1" t="s">
        <v>972</v>
      </c>
      <c r="R167" s="1" t="b">
        <f>COUNTIF(  Papers!G:G, RAW_DATA!Q167 ) = 0</f>
        <v>0</v>
      </c>
      <c r="S167" s="1" t="b">
        <f t="shared" si="0"/>
        <v>0</v>
      </c>
    </row>
    <row r="168" spans="1:19" ht="15.75" customHeight="1">
      <c r="A168" s="1" t="s">
        <v>973</v>
      </c>
      <c r="B168" s="1" t="s">
        <v>974</v>
      </c>
      <c r="C168" s="1">
        <v>2019</v>
      </c>
      <c r="D168" s="1" t="s">
        <v>424</v>
      </c>
      <c r="E168" s="1">
        <v>30</v>
      </c>
      <c r="F168" s="1">
        <v>1</v>
      </c>
      <c r="H168" s="1">
        <v>61</v>
      </c>
      <c r="I168" s="1">
        <v>79</v>
      </c>
      <c r="J168" s="1">
        <v>386</v>
      </c>
      <c r="K168" s="1" t="s">
        <v>975</v>
      </c>
      <c r="L168" s="1" t="s">
        <v>976</v>
      </c>
      <c r="M168" s="1" t="s">
        <v>54</v>
      </c>
      <c r="N168" s="1" t="s">
        <v>25</v>
      </c>
      <c r="P168" s="1" t="s">
        <v>27</v>
      </c>
      <c r="Q168" s="1" t="s">
        <v>977</v>
      </c>
      <c r="R168" s="1" t="b">
        <f>COUNTIF(  Papers!G:G, RAW_DATA!Q168 ) = 0</f>
        <v>0</v>
      </c>
      <c r="S168" s="1" t="b">
        <f t="shared" si="0"/>
        <v>0</v>
      </c>
    </row>
    <row r="169" spans="1:19" ht="15.75" customHeight="1">
      <c r="A169" s="1" t="s">
        <v>978</v>
      </c>
      <c r="B169" s="1" t="s">
        <v>979</v>
      </c>
      <c r="C169" s="1">
        <v>2019</v>
      </c>
      <c r="D169" s="1" t="s">
        <v>206</v>
      </c>
      <c r="E169" s="1">
        <v>143</v>
      </c>
      <c r="H169" s="1">
        <v>9</v>
      </c>
      <c r="I169" s="1">
        <v>13</v>
      </c>
      <c r="J169" s="1">
        <v>226</v>
      </c>
      <c r="K169" s="1" t="s">
        <v>980</v>
      </c>
      <c r="L169" s="1" t="s">
        <v>981</v>
      </c>
      <c r="M169" s="1" t="s">
        <v>54</v>
      </c>
      <c r="N169" s="1" t="s">
        <v>25</v>
      </c>
      <c r="O169" s="1" t="s">
        <v>55</v>
      </c>
      <c r="P169" s="1" t="s">
        <v>27</v>
      </c>
      <c r="Q169" s="1" t="s">
        <v>982</v>
      </c>
      <c r="R169" s="1" t="b">
        <f>COUNTIF(  Papers!G:G, RAW_DATA!Q169 ) = 0</f>
        <v>0</v>
      </c>
      <c r="S169" s="1" t="b">
        <f t="shared" si="0"/>
        <v>0</v>
      </c>
    </row>
    <row r="170" spans="1:19" ht="15.75" customHeight="1">
      <c r="A170" s="1" t="s">
        <v>983</v>
      </c>
      <c r="B170" s="1" t="s">
        <v>984</v>
      </c>
      <c r="C170" s="1">
        <v>2020</v>
      </c>
      <c r="D170" s="1" t="s">
        <v>84</v>
      </c>
      <c r="E170" s="1">
        <v>62</v>
      </c>
      <c r="F170" s="1">
        <v>5</v>
      </c>
      <c r="H170" s="1">
        <v>718</v>
      </c>
      <c r="I170" s="1">
        <v>736</v>
      </c>
      <c r="J170" s="1">
        <v>220</v>
      </c>
      <c r="K170" s="1" t="s">
        <v>985</v>
      </c>
      <c r="L170" s="1" t="s">
        <v>986</v>
      </c>
      <c r="M170" s="1" t="s">
        <v>54</v>
      </c>
      <c r="N170" s="1" t="s">
        <v>25</v>
      </c>
      <c r="O170" s="1" t="s">
        <v>113</v>
      </c>
      <c r="P170" s="1" t="s">
        <v>27</v>
      </c>
      <c r="Q170" s="1" t="s">
        <v>987</v>
      </c>
      <c r="R170" s="1" t="b">
        <f>COUNTIF(  Papers!G:G, RAW_DATA!Q170 ) = 0</f>
        <v>0</v>
      </c>
      <c r="S170" s="1" t="b">
        <f t="shared" si="0"/>
        <v>0</v>
      </c>
    </row>
    <row r="171" spans="1:19" ht="15.75" customHeight="1">
      <c r="A171" s="1" t="s">
        <v>988</v>
      </c>
      <c r="B171" s="1" t="s">
        <v>989</v>
      </c>
      <c r="C171" s="1">
        <v>2019</v>
      </c>
      <c r="D171" s="1" t="s">
        <v>247</v>
      </c>
      <c r="J171" s="1">
        <v>268</v>
      </c>
      <c r="K171" s="1" t="s">
        <v>990</v>
      </c>
      <c r="L171" s="1" t="s">
        <v>991</v>
      </c>
      <c r="M171" s="1" t="s">
        <v>169</v>
      </c>
      <c r="N171" s="1" t="s">
        <v>25</v>
      </c>
      <c r="P171" s="1" t="s">
        <v>27</v>
      </c>
      <c r="Q171" s="1" t="s">
        <v>992</v>
      </c>
      <c r="R171" s="1" t="b">
        <f>COUNTIF(  Papers!G:G, RAW_DATA!Q171 ) = 0</f>
        <v>0</v>
      </c>
      <c r="S171" s="1" t="b">
        <f t="shared" si="0"/>
        <v>0</v>
      </c>
    </row>
    <row r="172" spans="1:19" ht="15.75" customHeight="1">
      <c r="A172" s="1" t="s">
        <v>993</v>
      </c>
      <c r="B172" s="1" t="s">
        <v>994</v>
      </c>
      <c r="C172" s="1">
        <v>2022</v>
      </c>
      <c r="D172" s="1" t="s">
        <v>995</v>
      </c>
      <c r="E172" s="1">
        <v>63</v>
      </c>
      <c r="H172" s="1">
        <v>392</v>
      </c>
      <c r="I172" s="1">
        <v>410</v>
      </c>
      <c r="J172" s="1">
        <v>241</v>
      </c>
      <c r="K172" s="1" t="s">
        <v>996</v>
      </c>
      <c r="L172" s="1" t="s">
        <v>997</v>
      </c>
      <c r="M172" s="1" t="s">
        <v>54</v>
      </c>
      <c r="N172" s="1" t="s">
        <v>25</v>
      </c>
      <c r="P172" s="1" t="s">
        <v>27</v>
      </c>
      <c r="Q172" s="1" t="s">
        <v>998</v>
      </c>
      <c r="R172" s="1" t="b">
        <f>COUNTIF(  Papers!G:G, RAW_DATA!Q172 ) = 0</f>
        <v>0</v>
      </c>
      <c r="S172" s="1" t="b">
        <f t="shared" si="0"/>
        <v>0</v>
      </c>
    </row>
    <row r="173" spans="1:19" ht="15.75" customHeight="1">
      <c r="A173" s="1" t="s">
        <v>999</v>
      </c>
      <c r="B173" s="1" t="s">
        <v>1000</v>
      </c>
      <c r="C173" s="1">
        <v>2021</v>
      </c>
      <c r="D173" s="1" t="s">
        <v>189</v>
      </c>
      <c r="E173" s="1">
        <v>123</v>
      </c>
      <c r="G173" s="1">
        <v>106878</v>
      </c>
      <c r="J173" s="1">
        <v>262</v>
      </c>
      <c r="K173" s="1" t="s">
        <v>1001</v>
      </c>
      <c r="L173" s="1" t="s">
        <v>1002</v>
      </c>
      <c r="M173" s="1" t="s">
        <v>54</v>
      </c>
      <c r="N173" s="1" t="s">
        <v>25</v>
      </c>
      <c r="O173" s="1" t="s">
        <v>113</v>
      </c>
      <c r="P173" s="1" t="s">
        <v>27</v>
      </c>
      <c r="Q173" s="1" t="s">
        <v>1003</v>
      </c>
      <c r="R173" s="1" t="b">
        <f>COUNTIF(  Papers!G:G, RAW_DATA!Q173 ) = 0</f>
        <v>0</v>
      </c>
      <c r="S173" s="1" t="b">
        <f t="shared" si="0"/>
        <v>0</v>
      </c>
    </row>
    <row r="174" spans="1:19" ht="15.75" customHeight="1">
      <c r="A174" s="1" t="s">
        <v>1004</v>
      </c>
      <c r="B174" s="1" t="s">
        <v>1005</v>
      </c>
      <c r="C174" s="1">
        <v>2023</v>
      </c>
      <c r="D174" s="1" t="s">
        <v>1006</v>
      </c>
      <c r="E174" s="1">
        <v>36</v>
      </c>
      <c r="F174" s="1">
        <v>1</v>
      </c>
      <c r="H174" s="1">
        <v>454</v>
      </c>
      <c r="I174" s="1">
        <v>474</v>
      </c>
      <c r="J174" s="1">
        <v>257</v>
      </c>
      <c r="K174" s="1" t="s">
        <v>1007</v>
      </c>
      <c r="L174" s="1" t="s">
        <v>1008</v>
      </c>
      <c r="M174" s="1" t="s">
        <v>54</v>
      </c>
      <c r="N174" s="1" t="s">
        <v>25</v>
      </c>
      <c r="P174" s="1" t="s">
        <v>27</v>
      </c>
      <c r="Q174" s="1" t="s">
        <v>1009</v>
      </c>
      <c r="R174" s="1" t="b">
        <f>COUNTIF(  Papers!G:G, RAW_DATA!Q174 ) = 0</f>
        <v>0</v>
      </c>
      <c r="S174" s="1" t="b">
        <f t="shared" si="0"/>
        <v>0</v>
      </c>
    </row>
    <row r="175" spans="1:19" ht="15.75" customHeight="1">
      <c r="A175" s="1" t="s">
        <v>1010</v>
      </c>
      <c r="B175" s="1" t="s">
        <v>1011</v>
      </c>
      <c r="C175" s="1">
        <v>2018</v>
      </c>
      <c r="D175" s="1" t="s">
        <v>788</v>
      </c>
      <c r="E175" s="1">
        <v>48</v>
      </c>
      <c r="F175" s="1">
        <v>5</v>
      </c>
      <c r="G175" s="1">
        <v>8353134</v>
      </c>
      <c r="H175" s="1">
        <v>509</v>
      </c>
      <c r="I175" s="1">
        <v>525</v>
      </c>
      <c r="J175" s="1">
        <v>225</v>
      </c>
      <c r="K175" s="1" t="s">
        <v>1012</v>
      </c>
      <c r="L175" s="1" t="s">
        <v>1013</v>
      </c>
      <c r="M175" s="1" t="s">
        <v>54</v>
      </c>
      <c r="N175" s="1" t="s">
        <v>25</v>
      </c>
      <c r="P175" s="1" t="s">
        <v>27</v>
      </c>
      <c r="Q175" s="1" t="s">
        <v>1014</v>
      </c>
      <c r="R175" s="1" t="b">
        <f>COUNTIF(  Papers!G:G, RAW_DATA!Q175 ) = 0</f>
        <v>0</v>
      </c>
      <c r="S175" s="1" t="b">
        <f t="shared" si="0"/>
        <v>0</v>
      </c>
    </row>
    <row r="176" spans="1:19" ht="15.75" customHeight="1">
      <c r="A176" s="1" t="s">
        <v>1015</v>
      </c>
      <c r="B176" s="1" t="s">
        <v>1016</v>
      </c>
      <c r="C176" s="1">
        <v>2022</v>
      </c>
      <c r="D176" s="1" t="s">
        <v>1017</v>
      </c>
      <c r="E176" s="1">
        <v>53</v>
      </c>
      <c r="F176" s="1">
        <v>4</v>
      </c>
      <c r="H176" s="1">
        <v>914</v>
      </c>
      <c r="I176" s="1">
        <v>931</v>
      </c>
      <c r="J176" s="1">
        <v>405</v>
      </c>
      <c r="K176" s="1" t="s">
        <v>1018</v>
      </c>
      <c r="L176" s="1" t="s">
        <v>1019</v>
      </c>
      <c r="M176" s="1" t="s">
        <v>54</v>
      </c>
      <c r="N176" s="1" t="s">
        <v>25</v>
      </c>
      <c r="O176" s="1" t="s">
        <v>55</v>
      </c>
      <c r="P176" s="1" t="s">
        <v>27</v>
      </c>
      <c r="Q176" s="1" t="s">
        <v>1020</v>
      </c>
      <c r="R176" s="1" t="b">
        <f>COUNTIF(  Papers!G:G, RAW_DATA!Q176 ) = 0</f>
        <v>0</v>
      </c>
      <c r="S176" s="1" t="b">
        <f t="shared" si="0"/>
        <v>0</v>
      </c>
    </row>
    <row r="177" spans="1:19" ht="15.75" customHeight="1">
      <c r="A177" s="1" t="s">
        <v>1021</v>
      </c>
      <c r="B177" s="1" t="s">
        <v>1022</v>
      </c>
      <c r="C177" s="1">
        <v>2018</v>
      </c>
      <c r="D177" s="1" t="s">
        <v>799</v>
      </c>
      <c r="E177" s="1">
        <v>116</v>
      </c>
      <c r="H177" s="1">
        <v>3</v>
      </c>
      <c r="I177" s="1">
        <v>13</v>
      </c>
      <c r="J177" s="1">
        <v>236</v>
      </c>
      <c r="K177" s="1" t="s">
        <v>1023</v>
      </c>
      <c r="L177" s="1" t="s">
        <v>1024</v>
      </c>
      <c r="M177" s="1" t="s">
        <v>54</v>
      </c>
      <c r="N177" s="1" t="s">
        <v>25</v>
      </c>
      <c r="P177" s="1" t="s">
        <v>27</v>
      </c>
      <c r="Q177" s="1" t="s">
        <v>1025</v>
      </c>
      <c r="R177" s="1" t="b">
        <f>COUNTIF(  Papers!G:G, RAW_DATA!Q177 ) = 0</f>
        <v>0</v>
      </c>
      <c r="S177" s="1" t="b">
        <f t="shared" si="0"/>
        <v>0</v>
      </c>
    </row>
    <row r="178" spans="1:19" ht="15.75" customHeight="1">
      <c r="A178" s="1" t="s">
        <v>1026</v>
      </c>
      <c r="B178" s="1" t="s">
        <v>1027</v>
      </c>
      <c r="C178" s="1">
        <v>2021</v>
      </c>
      <c r="D178" s="1" t="s">
        <v>1028</v>
      </c>
      <c r="E178" s="1">
        <v>46</v>
      </c>
      <c r="F178" s="1">
        <v>3</v>
      </c>
      <c r="H178" s="1">
        <v>534</v>
      </c>
      <c r="I178" s="1">
        <v>551</v>
      </c>
      <c r="J178" s="1">
        <v>413</v>
      </c>
      <c r="K178" s="1" t="s">
        <v>1029</v>
      </c>
      <c r="L178" s="1" t="s">
        <v>1030</v>
      </c>
      <c r="M178" s="1" t="s">
        <v>54</v>
      </c>
      <c r="N178" s="1" t="s">
        <v>25</v>
      </c>
      <c r="P178" s="1" t="s">
        <v>27</v>
      </c>
      <c r="Q178" s="1" t="s">
        <v>1031</v>
      </c>
      <c r="R178" s="1" t="b">
        <f>COUNTIF(  Papers!G:G, RAW_DATA!Q178 ) = 0</f>
        <v>0</v>
      </c>
      <c r="S178" s="1" t="b">
        <f t="shared" si="0"/>
        <v>0</v>
      </c>
    </row>
    <row r="179" spans="1:19" ht="15.75" customHeight="1">
      <c r="A179" s="1" t="s">
        <v>1032</v>
      </c>
      <c r="B179" s="1" t="s">
        <v>1033</v>
      </c>
      <c r="C179" s="1">
        <v>2019</v>
      </c>
      <c r="D179" s="1" t="s">
        <v>59</v>
      </c>
      <c r="E179" s="1">
        <v>98</v>
      </c>
      <c r="H179" s="1">
        <v>207</v>
      </c>
      <c r="I179" s="1">
        <v>220</v>
      </c>
      <c r="J179" s="1">
        <v>758</v>
      </c>
      <c r="K179" s="1" t="s">
        <v>1034</v>
      </c>
      <c r="L179" s="1" t="s">
        <v>1035</v>
      </c>
      <c r="M179" s="1" t="s">
        <v>54</v>
      </c>
      <c r="N179" s="1" t="s">
        <v>25</v>
      </c>
      <c r="P179" s="1" t="s">
        <v>27</v>
      </c>
      <c r="Q179" s="1" t="s">
        <v>1036</v>
      </c>
      <c r="R179" s="1" t="b">
        <f>COUNTIF(  Papers!G:G, RAW_DATA!Q179 ) = 0</f>
        <v>0</v>
      </c>
      <c r="S179" s="1" t="b">
        <f t="shared" si="0"/>
        <v>0</v>
      </c>
    </row>
    <row r="180" spans="1:19" ht="15.75" customHeight="1">
      <c r="A180" s="1" t="s">
        <v>1037</v>
      </c>
      <c r="B180" s="1" t="s">
        <v>1038</v>
      </c>
      <c r="C180" s="1">
        <v>2022</v>
      </c>
      <c r="D180" s="1" t="s">
        <v>1039</v>
      </c>
      <c r="E180" s="1">
        <v>92</v>
      </c>
      <c r="G180" s="1">
        <v>104537</v>
      </c>
      <c r="J180" s="1">
        <v>268</v>
      </c>
      <c r="K180" s="1" t="s">
        <v>1040</v>
      </c>
      <c r="L180" s="1" t="s">
        <v>1041</v>
      </c>
      <c r="M180" s="1" t="s">
        <v>54</v>
      </c>
      <c r="N180" s="1" t="s">
        <v>25</v>
      </c>
      <c r="P180" s="1" t="s">
        <v>27</v>
      </c>
      <c r="Q180" s="1" t="s">
        <v>1042</v>
      </c>
      <c r="R180" s="1" t="b">
        <f>COUNTIF(  Papers!G:G, RAW_DATA!Q180 ) = 0</f>
        <v>0</v>
      </c>
      <c r="S180" s="1" t="b">
        <f t="shared" si="0"/>
        <v>0</v>
      </c>
    </row>
    <row r="181" spans="1:19" ht="15.75" customHeight="1">
      <c r="A181" s="1" t="s">
        <v>1043</v>
      </c>
      <c r="B181" s="1" t="s">
        <v>1044</v>
      </c>
      <c r="C181" s="1">
        <v>2019</v>
      </c>
      <c r="D181" s="1" t="s">
        <v>1045</v>
      </c>
      <c r="E181" s="1">
        <v>7</v>
      </c>
      <c r="F181" s="1">
        <v>4</v>
      </c>
      <c r="H181" s="1">
        <v>447</v>
      </c>
      <c r="I181" s="1">
        <v>469</v>
      </c>
      <c r="J181" s="1">
        <v>261</v>
      </c>
      <c r="K181" s="1" t="s">
        <v>1046</v>
      </c>
      <c r="L181" s="1" t="s">
        <v>1047</v>
      </c>
      <c r="M181" s="1" t="s">
        <v>54</v>
      </c>
      <c r="N181" s="1" t="s">
        <v>25</v>
      </c>
      <c r="O181" s="1" t="s">
        <v>120</v>
      </c>
      <c r="P181" s="1" t="s">
        <v>27</v>
      </c>
      <c r="Q181" s="1" t="s">
        <v>1048</v>
      </c>
      <c r="R181" s="1" t="b">
        <f>COUNTIF(  Papers!G:G, RAW_DATA!Q181 ) = 0</f>
        <v>0</v>
      </c>
      <c r="S181" s="1" t="b">
        <f t="shared" si="0"/>
        <v>0</v>
      </c>
    </row>
    <row r="182" spans="1:19" ht="15.75" customHeight="1">
      <c r="A182" s="1" t="s">
        <v>1049</v>
      </c>
      <c r="B182" s="1" t="s">
        <v>1050</v>
      </c>
      <c r="C182" s="1">
        <v>2023</v>
      </c>
      <c r="D182" s="1" t="s">
        <v>1051</v>
      </c>
      <c r="E182" s="1">
        <v>7</v>
      </c>
      <c r="F182" s="1">
        <v>6</v>
      </c>
      <c r="H182" s="1">
        <v>719</v>
      </c>
      <c r="I182" s="1">
        <v>742</v>
      </c>
      <c r="J182" s="1">
        <v>463</v>
      </c>
      <c r="K182" s="1" t="s">
        <v>1052</v>
      </c>
      <c r="L182" s="1" t="s">
        <v>1053</v>
      </c>
      <c r="M182" s="1" t="s">
        <v>54</v>
      </c>
      <c r="N182" s="1" t="s">
        <v>25</v>
      </c>
      <c r="O182" s="1" t="s">
        <v>113</v>
      </c>
      <c r="P182" s="1" t="s">
        <v>27</v>
      </c>
      <c r="Q182" s="1" t="s">
        <v>1054</v>
      </c>
      <c r="R182" s="1" t="b">
        <f>COUNTIF(  Papers!G:G, RAW_DATA!Q182 ) = 0</f>
        <v>0</v>
      </c>
      <c r="S182" s="1" t="b">
        <f t="shared" si="0"/>
        <v>0</v>
      </c>
    </row>
    <row r="183" spans="1:19" ht="15.75" customHeight="1">
      <c r="A183" s="1" t="s">
        <v>1055</v>
      </c>
      <c r="B183" s="1" t="s">
        <v>1056</v>
      </c>
      <c r="C183" s="1">
        <v>2019</v>
      </c>
      <c r="D183" s="1" t="s">
        <v>212</v>
      </c>
      <c r="E183" s="1">
        <v>35</v>
      </c>
      <c r="F183" s="1">
        <v>14</v>
      </c>
      <c r="H183" s="1">
        <v>1229</v>
      </c>
      <c r="I183" s="1">
        <v>1269</v>
      </c>
      <c r="J183" s="1">
        <v>467</v>
      </c>
      <c r="K183" s="1" t="s">
        <v>1057</v>
      </c>
      <c r="L183" s="1" t="s">
        <v>1058</v>
      </c>
      <c r="M183" s="1" t="s">
        <v>24</v>
      </c>
      <c r="N183" s="1" t="s">
        <v>25</v>
      </c>
      <c r="O183" s="1" t="s">
        <v>120</v>
      </c>
      <c r="P183" s="1" t="s">
        <v>27</v>
      </c>
      <c r="Q183" s="1" t="s">
        <v>1059</v>
      </c>
      <c r="R183" s="1" t="b">
        <f>COUNTIF(  Papers!G:G, RAW_DATA!Q183 ) = 0</f>
        <v>0</v>
      </c>
      <c r="S183" s="1" t="b">
        <f t="shared" si="0"/>
        <v>0</v>
      </c>
    </row>
    <row r="184" spans="1:19" ht="15.75" customHeight="1">
      <c r="A184" s="1" t="s">
        <v>628</v>
      </c>
      <c r="B184" s="1" t="s">
        <v>1060</v>
      </c>
      <c r="C184" s="1">
        <v>2023</v>
      </c>
      <c r="D184" s="1" t="s">
        <v>189</v>
      </c>
      <c r="E184" s="1">
        <v>140</v>
      </c>
      <c r="G184" s="1">
        <v>107574</v>
      </c>
      <c r="J184" s="1">
        <v>225</v>
      </c>
      <c r="K184" s="1" t="s">
        <v>1061</v>
      </c>
      <c r="L184" s="1" t="s">
        <v>1062</v>
      </c>
      <c r="M184" s="1" t="s">
        <v>54</v>
      </c>
      <c r="N184" s="1" t="s">
        <v>25</v>
      </c>
      <c r="P184" s="1" t="s">
        <v>27</v>
      </c>
      <c r="Q184" s="1" t="s">
        <v>1063</v>
      </c>
      <c r="R184" s="1" t="b">
        <f>COUNTIF(  Papers!G:G, RAW_DATA!Q184 ) = 0</f>
        <v>0</v>
      </c>
      <c r="S184" s="1" t="b">
        <f t="shared" si="0"/>
        <v>0</v>
      </c>
    </row>
    <row r="185" spans="1:19" ht="15.75" customHeight="1">
      <c r="A185" s="1" t="s">
        <v>1064</v>
      </c>
      <c r="B185" s="1" t="s">
        <v>1065</v>
      </c>
      <c r="C185" s="1">
        <v>2016</v>
      </c>
      <c r="D185" s="1" t="s">
        <v>165</v>
      </c>
      <c r="E185" s="1" t="s">
        <v>287</v>
      </c>
      <c r="G185" s="1">
        <v>7451741</v>
      </c>
      <c r="H185" s="1">
        <v>109</v>
      </c>
      <c r="I185" s="1">
        <v>116</v>
      </c>
      <c r="J185" s="1">
        <v>225</v>
      </c>
      <c r="K185" s="1" t="s">
        <v>1066</v>
      </c>
      <c r="L185" s="1" t="s">
        <v>1067</v>
      </c>
      <c r="M185" s="1" t="s">
        <v>169</v>
      </c>
      <c r="N185" s="1" t="s">
        <v>25</v>
      </c>
      <c r="P185" s="1" t="s">
        <v>27</v>
      </c>
      <c r="Q185" s="1" t="s">
        <v>1068</v>
      </c>
      <c r="R185" s="1" t="b">
        <f>COUNTIF(  Papers!G:G, RAW_DATA!Q185 ) = 0</f>
        <v>0</v>
      </c>
      <c r="S185" s="1" t="b">
        <f t="shared" si="0"/>
        <v>0</v>
      </c>
    </row>
    <row r="186" spans="1:19" ht="15.75" customHeight="1">
      <c r="A186" s="1" t="s">
        <v>1069</v>
      </c>
      <c r="B186" s="1" t="s">
        <v>1070</v>
      </c>
      <c r="C186" s="1">
        <v>2021</v>
      </c>
      <c r="D186" s="1" t="s">
        <v>247</v>
      </c>
      <c r="J186" s="1">
        <v>521</v>
      </c>
      <c r="K186" s="1" t="s">
        <v>1071</v>
      </c>
      <c r="L186" s="1" t="s">
        <v>1072</v>
      </c>
      <c r="M186" s="1" t="s">
        <v>169</v>
      </c>
      <c r="N186" s="1" t="s">
        <v>25</v>
      </c>
      <c r="O186" s="1" t="s">
        <v>113</v>
      </c>
      <c r="P186" s="1" t="s">
        <v>27</v>
      </c>
      <c r="Q186" s="1" t="s">
        <v>1073</v>
      </c>
      <c r="R186" s="1" t="b">
        <f>COUNTIF(  Papers!G:G, RAW_DATA!Q186 ) = 0</f>
        <v>0</v>
      </c>
      <c r="S186" s="1" t="b">
        <f t="shared" si="0"/>
        <v>0</v>
      </c>
    </row>
    <row r="187" spans="1:19" ht="15.75" customHeight="1">
      <c r="A187" s="1" t="s">
        <v>1074</v>
      </c>
      <c r="B187" s="1" t="s">
        <v>1075</v>
      </c>
      <c r="C187" s="1">
        <v>2023</v>
      </c>
      <c r="D187" s="1" t="s">
        <v>443</v>
      </c>
      <c r="H187" s="1">
        <v>410</v>
      </c>
      <c r="I187" s="1">
        <v>422</v>
      </c>
      <c r="J187" s="1">
        <v>138</v>
      </c>
      <c r="K187" s="1" t="s">
        <v>1076</v>
      </c>
      <c r="L187" s="1" t="s">
        <v>1077</v>
      </c>
      <c r="M187" s="1" t="s">
        <v>169</v>
      </c>
      <c r="N187" s="1" t="s">
        <v>25</v>
      </c>
      <c r="O187" s="1" t="s">
        <v>113</v>
      </c>
      <c r="P187" s="1" t="s">
        <v>27</v>
      </c>
      <c r="Q187" s="1" t="s">
        <v>1078</v>
      </c>
      <c r="R187" s="1" t="b">
        <f>COUNTIF(  Papers!G:G, RAW_DATA!Q187 ) = 0</f>
        <v>0</v>
      </c>
      <c r="S187" s="1" t="b">
        <f t="shared" si="0"/>
        <v>0</v>
      </c>
    </row>
    <row r="188" spans="1:19" ht="15.75" customHeight="1">
      <c r="A188" s="1" t="s">
        <v>1079</v>
      </c>
      <c r="B188" s="1" t="s">
        <v>1080</v>
      </c>
      <c r="C188" s="1">
        <v>2024</v>
      </c>
      <c r="D188" s="1" t="s">
        <v>1081</v>
      </c>
      <c r="E188" s="1">
        <v>46</v>
      </c>
      <c r="F188" s="1">
        <v>4</v>
      </c>
      <c r="H188" s="1">
        <v>2104</v>
      </c>
      <c r="I188" s="1">
        <v>2122</v>
      </c>
      <c r="J188" s="1">
        <v>152</v>
      </c>
      <c r="K188" s="1" t="s">
        <v>1082</v>
      </c>
      <c r="L188" s="1" t="s">
        <v>1083</v>
      </c>
      <c r="M188" s="1" t="s">
        <v>54</v>
      </c>
      <c r="N188" s="1" t="s">
        <v>25</v>
      </c>
      <c r="O188" s="1" t="s">
        <v>55</v>
      </c>
      <c r="P188" s="1" t="s">
        <v>27</v>
      </c>
      <c r="Q188" s="1" t="s">
        <v>1084</v>
      </c>
      <c r="R188" s="1" t="b">
        <f>COUNTIF(  Papers!G:G, RAW_DATA!Q188 ) = 0</f>
        <v>0</v>
      </c>
      <c r="S188" s="1" t="b">
        <f t="shared" si="0"/>
        <v>0</v>
      </c>
    </row>
    <row r="189" spans="1:19" ht="15.75" customHeight="1">
      <c r="A189" s="1" t="s">
        <v>1085</v>
      </c>
      <c r="B189" s="1" t="s">
        <v>1086</v>
      </c>
      <c r="C189" s="1">
        <v>2017</v>
      </c>
      <c r="D189" s="1" t="s">
        <v>1087</v>
      </c>
      <c r="E189" s="1" t="s">
        <v>1088</v>
      </c>
      <c r="H189" s="1">
        <v>1093</v>
      </c>
      <c r="I189" s="1">
        <v>1098</v>
      </c>
      <c r="J189" s="1">
        <v>136</v>
      </c>
      <c r="K189" s="1" t="s">
        <v>1089</v>
      </c>
      <c r="L189" s="1" t="s">
        <v>1090</v>
      </c>
      <c r="M189" s="1" t="s">
        <v>169</v>
      </c>
      <c r="N189" s="1" t="s">
        <v>25</v>
      </c>
      <c r="P189" s="1" t="s">
        <v>27</v>
      </c>
      <c r="Q189" s="1" t="s">
        <v>1091</v>
      </c>
      <c r="R189" s="1" t="b">
        <f>COUNTIF(  Papers!G:G, RAW_DATA!Q189 ) = 0</f>
        <v>0</v>
      </c>
      <c r="S189" s="1" t="b">
        <f t="shared" si="0"/>
        <v>0</v>
      </c>
    </row>
    <row r="190" spans="1:19" ht="15.75" customHeight="1">
      <c r="A190" s="1" t="s">
        <v>1092</v>
      </c>
      <c r="B190" s="1" t="s">
        <v>1093</v>
      </c>
      <c r="C190" s="1">
        <v>2021</v>
      </c>
      <c r="D190" s="1" t="s">
        <v>1094</v>
      </c>
      <c r="E190" s="1">
        <v>22</v>
      </c>
      <c r="F190" s="1">
        <v>3</v>
      </c>
      <c r="H190" s="1">
        <v>539</v>
      </c>
      <c r="I190" s="1">
        <v>556</v>
      </c>
      <c r="J190" s="1">
        <v>159</v>
      </c>
      <c r="K190" s="1" t="s">
        <v>1095</v>
      </c>
      <c r="L190" s="1" t="s">
        <v>1096</v>
      </c>
      <c r="M190" s="1" t="s">
        <v>54</v>
      </c>
      <c r="N190" s="1" t="s">
        <v>25</v>
      </c>
      <c r="O190" s="1" t="s">
        <v>120</v>
      </c>
      <c r="P190" s="1" t="s">
        <v>27</v>
      </c>
      <c r="Q190" s="1" t="s">
        <v>1097</v>
      </c>
      <c r="R190" s="1" t="b">
        <f>COUNTIF(  Papers!G:G, RAW_DATA!Q190 ) = 0</f>
        <v>0</v>
      </c>
      <c r="S190" s="1" t="b">
        <f t="shared" si="0"/>
        <v>0</v>
      </c>
    </row>
    <row r="191" spans="1:19" ht="15.75" customHeight="1">
      <c r="A191" s="1" t="s">
        <v>1098</v>
      </c>
      <c r="B191" s="1" t="s">
        <v>1099</v>
      </c>
      <c r="C191" s="1">
        <v>2022</v>
      </c>
      <c r="D191" s="1" t="s">
        <v>709</v>
      </c>
      <c r="E191" s="1">
        <v>5</v>
      </c>
      <c r="F191" s="1">
        <v>1</v>
      </c>
      <c r="G191" s="1">
        <v>97</v>
      </c>
      <c r="J191" s="1">
        <v>154</v>
      </c>
      <c r="K191" s="1" t="s">
        <v>1100</v>
      </c>
      <c r="L191" s="1" t="s">
        <v>1101</v>
      </c>
      <c r="M191" s="1" t="s">
        <v>54</v>
      </c>
      <c r="N191" s="1" t="s">
        <v>25</v>
      </c>
      <c r="O191" s="1" t="s">
        <v>26</v>
      </c>
      <c r="P191" s="1" t="s">
        <v>27</v>
      </c>
      <c r="Q191" s="1" t="s">
        <v>1102</v>
      </c>
      <c r="R191" s="1" t="b">
        <f>COUNTIF(  Papers!G:G, RAW_DATA!Q191 ) = 0</f>
        <v>0</v>
      </c>
      <c r="S191" s="1" t="b">
        <f t="shared" si="0"/>
        <v>0</v>
      </c>
    </row>
    <row r="192" spans="1:19" ht="15.75" customHeight="1">
      <c r="A192" s="1" t="s">
        <v>1103</v>
      </c>
      <c r="B192" s="1" t="s">
        <v>1104</v>
      </c>
      <c r="C192" s="1">
        <v>2021</v>
      </c>
      <c r="D192" s="1" t="s">
        <v>1105</v>
      </c>
      <c r="E192" s="1">
        <v>52</v>
      </c>
      <c r="G192" s="1">
        <v>100816</v>
      </c>
      <c r="J192" s="1">
        <v>138</v>
      </c>
      <c r="K192" s="1" t="s">
        <v>1106</v>
      </c>
      <c r="L192" s="1" t="s">
        <v>1107</v>
      </c>
      <c r="M192" s="1" t="s">
        <v>54</v>
      </c>
      <c r="N192" s="1" t="s">
        <v>25</v>
      </c>
      <c r="P192" s="1" t="s">
        <v>27</v>
      </c>
      <c r="Q192" s="1" t="s">
        <v>1108</v>
      </c>
      <c r="R192" s="1" t="b">
        <f>COUNTIF(  Papers!G:G, RAW_DATA!Q192 ) = 0</f>
        <v>0</v>
      </c>
      <c r="S192" s="1" t="b">
        <f t="shared" si="0"/>
        <v>0</v>
      </c>
    </row>
    <row r="193" spans="1:19" ht="15.75" customHeight="1">
      <c r="A193" s="1" t="s">
        <v>1109</v>
      </c>
      <c r="B193" s="1" t="s">
        <v>1110</v>
      </c>
      <c r="C193" s="1">
        <v>2019</v>
      </c>
      <c r="D193" s="1" t="s">
        <v>1111</v>
      </c>
      <c r="E193" s="1">
        <v>13</v>
      </c>
      <c r="F193" s="1">
        <v>3</v>
      </c>
      <c r="G193" s="1">
        <v>8732669</v>
      </c>
      <c r="H193" s="1">
        <v>3590</v>
      </c>
      <c r="I193" s="1">
        <v>3603</v>
      </c>
      <c r="J193" s="1">
        <v>166</v>
      </c>
      <c r="K193" s="1" t="s">
        <v>1112</v>
      </c>
      <c r="L193" s="1" t="s">
        <v>1113</v>
      </c>
      <c r="M193" s="1" t="s">
        <v>54</v>
      </c>
      <c r="N193" s="1" t="s">
        <v>25</v>
      </c>
      <c r="O193" s="1" t="s">
        <v>113</v>
      </c>
      <c r="P193" s="1" t="s">
        <v>27</v>
      </c>
      <c r="Q193" s="1" t="s">
        <v>1114</v>
      </c>
      <c r="R193" s="1" t="b">
        <f>COUNTIF(  Papers!G:G, RAW_DATA!Q193 ) = 0</f>
        <v>0</v>
      </c>
      <c r="S193" s="1" t="b">
        <f t="shared" si="0"/>
        <v>0</v>
      </c>
    </row>
    <row r="194" spans="1:19" ht="15.75" customHeight="1">
      <c r="A194" s="1" t="s">
        <v>1115</v>
      </c>
      <c r="B194" s="1" t="s">
        <v>1116</v>
      </c>
      <c r="C194" s="1">
        <v>2019</v>
      </c>
      <c r="D194" s="1" t="s">
        <v>1117</v>
      </c>
      <c r="E194" s="1">
        <v>11</v>
      </c>
      <c r="F194" s="1">
        <v>2</v>
      </c>
      <c r="H194" s="1">
        <v>159</v>
      </c>
      <c r="I194" s="1">
        <v>171</v>
      </c>
      <c r="J194" s="1">
        <v>178</v>
      </c>
      <c r="K194" s="1" t="s">
        <v>1118</v>
      </c>
      <c r="L194" s="1" t="s">
        <v>1119</v>
      </c>
      <c r="M194" s="1" t="s">
        <v>24</v>
      </c>
      <c r="N194" s="1" t="s">
        <v>25</v>
      </c>
      <c r="O194" s="1" t="s">
        <v>55</v>
      </c>
      <c r="P194" s="1" t="s">
        <v>27</v>
      </c>
      <c r="Q194" s="1" t="s">
        <v>1120</v>
      </c>
      <c r="R194" s="1" t="b">
        <f>COUNTIF(  Papers!G:G, RAW_DATA!Q194 ) = 0</f>
        <v>0</v>
      </c>
      <c r="S194" s="1" t="b">
        <f t="shared" si="0"/>
        <v>0</v>
      </c>
    </row>
    <row r="195" spans="1:19" ht="15.75" customHeight="1">
      <c r="A195" s="1" t="s">
        <v>1121</v>
      </c>
      <c r="B195" s="1" t="s">
        <v>1122</v>
      </c>
      <c r="C195" s="1">
        <v>2022</v>
      </c>
      <c r="D195" s="1" t="s">
        <v>1123</v>
      </c>
      <c r="E195" s="1">
        <v>24</v>
      </c>
      <c r="F195" s="1">
        <v>3</v>
      </c>
      <c r="H195" s="1">
        <v>877</v>
      </c>
      <c r="I195" s="1">
        <v>895</v>
      </c>
      <c r="J195" s="1">
        <v>155</v>
      </c>
      <c r="K195" s="1" t="s">
        <v>1124</v>
      </c>
      <c r="L195" s="1" t="s">
        <v>1125</v>
      </c>
      <c r="M195" s="1" t="s">
        <v>54</v>
      </c>
      <c r="N195" s="1" t="s">
        <v>25</v>
      </c>
      <c r="O195" s="1" t="s">
        <v>100</v>
      </c>
      <c r="P195" s="1" t="s">
        <v>27</v>
      </c>
      <c r="Q195" s="1" t="s">
        <v>1126</v>
      </c>
      <c r="R195" s="1" t="b">
        <f>COUNTIF(  Papers!G:G, RAW_DATA!Q195 ) = 0</f>
        <v>0</v>
      </c>
      <c r="S195" s="1" t="b">
        <f t="shared" si="0"/>
        <v>0</v>
      </c>
    </row>
    <row r="196" spans="1:19" ht="15.75" customHeight="1">
      <c r="A196" s="1" t="s">
        <v>1127</v>
      </c>
      <c r="B196" s="1" t="s">
        <v>1128</v>
      </c>
      <c r="C196" s="1">
        <v>2018</v>
      </c>
      <c r="D196" s="1" t="s">
        <v>84</v>
      </c>
      <c r="E196" s="1">
        <v>60</v>
      </c>
      <c r="F196" s="1">
        <v>8</v>
      </c>
      <c r="H196" s="1">
        <v>1095</v>
      </c>
      <c r="I196" s="1">
        <v>1116</v>
      </c>
      <c r="J196" s="1">
        <v>178</v>
      </c>
      <c r="K196" s="1" t="s">
        <v>1129</v>
      </c>
      <c r="L196" s="1" t="s">
        <v>1130</v>
      </c>
      <c r="M196" s="1" t="s">
        <v>54</v>
      </c>
      <c r="N196" s="1" t="s">
        <v>25</v>
      </c>
      <c r="O196" s="1" t="s">
        <v>120</v>
      </c>
      <c r="P196" s="1" t="s">
        <v>27</v>
      </c>
      <c r="Q196" s="1" t="s">
        <v>1131</v>
      </c>
      <c r="R196" s="1" t="b">
        <f>COUNTIF(  Papers!G:G, RAW_DATA!Q196 ) = 0</f>
        <v>0</v>
      </c>
      <c r="S196" s="1" t="b">
        <f t="shared" si="0"/>
        <v>0</v>
      </c>
    </row>
    <row r="197" spans="1:19" ht="15.75" customHeight="1">
      <c r="A197" s="1" t="s">
        <v>1132</v>
      </c>
      <c r="B197" s="1" t="s">
        <v>1133</v>
      </c>
      <c r="C197" s="1">
        <v>2020</v>
      </c>
      <c r="D197" s="1" t="s">
        <v>1017</v>
      </c>
      <c r="E197" s="1">
        <v>51</v>
      </c>
      <c r="F197" s="1">
        <v>5</v>
      </c>
      <c r="H197" s="1">
        <v>1693</v>
      </c>
      <c r="I197" s="1">
        <v>1710</v>
      </c>
      <c r="J197" s="1">
        <v>173</v>
      </c>
      <c r="K197" s="1" t="s">
        <v>1134</v>
      </c>
      <c r="L197" s="1" t="s">
        <v>1135</v>
      </c>
      <c r="M197" s="1" t="s">
        <v>54</v>
      </c>
      <c r="N197" s="1" t="s">
        <v>25</v>
      </c>
      <c r="P197" s="1" t="s">
        <v>27</v>
      </c>
      <c r="Q197" s="1" t="s">
        <v>1136</v>
      </c>
      <c r="R197" s="1" t="b">
        <f>COUNTIF(  Papers!G:G, RAW_DATA!Q197 ) = 0</f>
        <v>0</v>
      </c>
      <c r="S197" s="1" t="b">
        <f t="shared" si="0"/>
        <v>0</v>
      </c>
    </row>
    <row r="198" spans="1:19" ht="15.75" customHeight="1">
      <c r="A198" s="1" t="s">
        <v>1137</v>
      </c>
      <c r="B198" s="1" t="s">
        <v>1138</v>
      </c>
      <c r="C198" s="1">
        <v>2019</v>
      </c>
      <c r="D198" s="1" t="s">
        <v>1139</v>
      </c>
      <c r="E198" s="1">
        <v>33</v>
      </c>
      <c r="F198" s="1">
        <v>6</v>
      </c>
      <c r="H198" s="1">
        <v>673</v>
      </c>
      <c r="I198" s="1">
        <v>705</v>
      </c>
      <c r="J198" s="1">
        <v>199</v>
      </c>
      <c r="K198" s="1" t="s">
        <v>1140</v>
      </c>
      <c r="L198" s="1" t="s">
        <v>1141</v>
      </c>
      <c r="M198" s="1" t="s">
        <v>54</v>
      </c>
      <c r="N198" s="1" t="s">
        <v>25</v>
      </c>
      <c r="O198" s="1" t="s">
        <v>113</v>
      </c>
      <c r="P198" s="1" t="s">
        <v>27</v>
      </c>
      <c r="Q198" s="1" t="s">
        <v>1142</v>
      </c>
      <c r="R198" s="1" t="b">
        <f>COUNTIF(  Papers!G:G, RAW_DATA!Q198 ) = 0</f>
        <v>0</v>
      </c>
      <c r="S198" s="1" t="b">
        <f t="shared" si="0"/>
        <v>0</v>
      </c>
    </row>
    <row r="199" spans="1:19" ht="15.75" customHeight="1">
      <c r="A199" s="1" t="s">
        <v>1143</v>
      </c>
      <c r="B199" s="1" t="s">
        <v>1144</v>
      </c>
      <c r="C199" s="1">
        <v>2022</v>
      </c>
      <c r="D199" s="1" t="s">
        <v>1145</v>
      </c>
      <c r="E199" s="1">
        <v>151</v>
      </c>
      <c r="G199" s="1">
        <v>104047</v>
      </c>
      <c r="J199" s="1">
        <v>134</v>
      </c>
      <c r="K199" s="1" t="s">
        <v>1146</v>
      </c>
      <c r="L199" s="1" t="s">
        <v>1147</v>
      </c>
      <c r="M199" s="1" t="s">
        <v>1148</v>
      </c>
      <c r="N199" s="1" t="s">
        <v>25</v>
      </c>
      <c r="O199" s="1" t="s">
        <v>113</v>
      </c>
      <c r="P199" s="1" t="s">
        <v>27</v>
      </c>
      <c r="Q199" s="1" t="s">
        <v>1149</v>
      </c>
      <c r="R199" s="1" t="b">
        <f>COUNTIF(  Papers!G:G, RAW_DATA!Q199 ) = 0</f>
        <v>0</v>
      </c>
      <c r="S199" s="1" t="b">
        <f t="shared" si="0"/>
        <v>0</v>
      </c>
    </row>
    <row r="200" spans="1:19" ht="15.75" customHeight="1">
      <c r="A200" s="1" t="s">
        <v>1150</v>
      </c>
      <c r="B200" s="1" t="s">
        <v>1151</v>
      </c>
      <c r="C200" s="1">
        <v>2017</v>
      </c>
      <c r="D200" s="1" t="s">
        <v>165</v>
      </c>
      <c r="E200" s="1" t="s">
        <v>166</v>
      </c>
      <c r="H200" s="1">
        <v>408</v>
      </c>
      <c r="I200" s="1">
        <v>416</v>
      </c>
      <c r="J200" s="1">
        <v>204</v>
      </c>
      <c r="K200" s="1" t="s">
        <v>1152</v>
      </c>
      <c r="L200" s="1" t="s">
        <v>1153</v>
      </c>
      <c r="M200" s="1" t="s">
        <v>169</v>
      </c>
      <c r="N200" s="1" t="s">
        <v>25</v>
      </c>
      <c r="O200" s="1" t="s">
        <v>113</v>
      </c>
      <c r="P200" s="1" t="s">
        <v>27</v>
      </c>
      <c r="Q200" s="1" t="s">
        <v>1154</v>
      </c>
      <c r="R200" s="1" t="b">
        <f>COUNTIF(  Papers!G:G, RAW_DATA!Q200 ) = 0</f>
        <v>0</v>
      </c>
      <c r="S200" s="1" t="b">
        <f t="shared" si="0"/>
        <v>0</v>
      </c>
    </row>
    <row r="201" spans="1:19" ht="15.75" customHeight="1">
      <c r="A201" s="1" t="s">
        <v>1155</v>
      </c>
      <c r="B201" s="1" t="s">
        <v>1156</v>
      </c>
      <c r="C201" s="1">
        <v>2021</v>
      </c>
      <c r="D201" s="1" t="s">
        <v>117</v>
      </c>
      <c r="E201" s="1">
        <v>294</v>
      </c>
      <c r="G201" s="1">
        <v>103459</v>
      </c>
      <c r="J201" s="1">
        <v>208</v>
      </c>
      <c r="K201" s="1" t="s">
        <v>1157</v>
      </c>
      <c r="L201" s="1" t="s">
        <v>1158</v>
      </c>
      <c r="M201" s="1" t="s">
        <v>54</v>
      </c>
      <c r="N201" s="1" t="s">
        <v>25</v>
      </c>
      <c r="O201" s="1" t="s">
        <v>55</v>
      </c>
      <c r="P201" s="1" t="s">
        <v>27</v>
      </c>
      <c r="Q201" s="1" t="s">
        <v>1159</v>
      </c>
      <c r="R201" s="1" t="b">
        <f>COUNTIF(  Papers!G:G, RAW_DATA!Q201 ) = 0</f>
        <v>0</v>
      </c>
      <c r="S201" s="1" t="b">
        <f t="shared" si="0"/>
        <v>0</v>
      </c>
    </row>
    <row r="202" spans="1:19" ht="15.75" customHeight="1">
      <c r="A202" s="1" t="s">
        <v>1160</v>
      </c>
      <c r="B202" s="1" t="s">
        <v>1161</v>
      </c>
      <c r="C202" s="1">
        <v>2021</v>
      </c>
      <c r="D202" s="1" t="s">
        <v>455</v>
      </c>
      <c r="E202" s="1">
        <v>38</v>
      </c>
      <c r="F202" s="1">
        <v>4</v>
      </c>
      <c r="H202" s="1">
        <v>691</v>
      </c>
      <c r="I202" s="1">
        <v>703</v>
      </c>
      <c r="J202" s="1">
        <v>164</v>
      </c>
      <c r="K202" s="1" t="s">
        <v>1162</v>
      </c>
      <c r="L202" s="1" t="s">
        <v>1163</v>
      </c>
      <c r="M202" s="1" t="s">
        <v>54</v>
      </c>
      <c r="N202" s="1" t="s">
        <v>25</v>
      </c>
      <c r="P202" s="1" t="s">
        <v>27</v>
      </c>
      <c r="Q202" s="1" t="s">
        <v>1164</v>
      </c>
      <c r="R202" s="1" t="b">
        <f>COUNTIF(  Papers!G:G, RAW_DATA!Q202 ) = 0</f>
        <v>0</v>
      </c>
      <c r="S202" s="1" t="b">
        <f t="shared" si="0"/>
        <v>0</v>
      </c>
    </row>
    <row r="203" spans="1:19" ht="15.75" customHeight="1">
      <c r="A203" s="1" t="s">
        <v>1165</v>
      </c>
      <c r="B203" s="1" t="s">
        <v>1166</v>
      </c>
      <c r="C203" s="1">
        <v>2017</v>
      </c>
      <c r="D203" s="1" t="s">
        <v>84</v>
      </c>
      <c r="E203" s="1">
        <v>59</v>
      </c>
      <c r="F203" s="1">
        <v>3</v>
      </c>
      <c r="H203" s="1">
        <v>457</v>
      </c>
      <c r="I203" s="1">
        <v>470</v>
      </c>
      <c r="J203" s="1">
        <v>199</v>
      </c>
      <c r="K203" s="1" t="s">
        <v>1167</v>
      </c>
      <c r="L203" s="1" t="s">
        <v>1168</v>
      </c>
      <c r="M203" s="1" t="s">
        <v>54</v>
      </c>
      <c r="N203" s="1" t="s">
        <v>25</v>
      </c>
      <c r="P203" s="1" t="s">
        <v>27</v>
      </c>
      <c r="Q203" s="1" t="s">
        <v>1169</v>
      </c>
      <c r="R203" s="1" t="b">
        <f>COUNTIF(  Papers!G:G, RAW_DATA!Q203 ) = 0</f>
        <v>0</v>
      </c>
      <c r="S203" s="1" t="b">
        <f t="shared" si="0"/>
        <v>0</v>
      </c>
    </row>
    <row r="204" spans="1:19" ht="15.75" customHeight="1">
      <c r="A204" s="1" t="s">
        <v>1170</v>
      </c>
      <c r="B204" s="1" t="s">
        <v>1171</v>
      </c>
      <c r="C204" s="1">
        <v>2023</v>
      </c>
      <c r="D204" s="1" t="s">
        <v>1172</v>
      </c>
      <c r="E204" s="1">
        <v>307</v>
      </c>
      <c r="F204" s="1">
        <v>4</v>
      </c>
      <c r="G204" s="1" t="s">
        <v>1173</v>
      </c>
      <c r="J204" s="1">
        <v>189</v>
      </c>
      <c r="K204" s="1" t="s">
        <v>1174</v>
      </c>
      <c r="L204" s="1" t="s">
        <v>1175</v>
      </c>
      <c r="M204" s="1" t="s">
        <v>54</v>
      </c>
      <c r="N204" s="1" t="s">
        <v>25</v>
      </c>
      <c r="O204" s="1" t="s">
        <v>113</v>
      </c>
      <c r="P204" s="1" t="s">
        <v>27</v>
      </c>
      <c r="Q204" s="1" t="s">
        <v>1176</v>
      </c>
      <c r="R204" s="1" t="b">
        <f>COUNTIF(  Papers!G:G, RAW_DATA!Q204 ) = 0</f>
        <v>0</v>
      </c>
      <c r="S204" s="1" t="b">
        <f t="shared" si="0"/>
        <v>0</v>
      </c>
    </row>
    <row r="205" spans="1:19" ht="15.75" customHeight="1">
      <c r="A205" s="1" t="s">
        <v>1177</v>
      </c>
      <c r="B205" s="1" t="s">
        <v>1178</v>
      </c>
      <c r="C205" s="1">
        <v>2024</v>
      </c>
      <c r="D205" s="1" t="s">
        <v>1179</v>
      </c>
      <c r="E205" s="1">
        <v>17</v>
      </c>
      <c r="H205" s="1">
        <v>1069</v>
      </c>
      <c r="I205" s="1">
        <v>1081</v>
      </c>
      <c r="J205" s="1">
        <v>154</v>
      </c>
      <c r="K205" s="1" t="s">
        <v>1180</v>
      </c>
      <c r="L205" s="1" t="s">
        <v>1181</v>
      </c>
      <c r="M205" s="1" t="s">
        <v>54</v>
      </c>
      <c r="N205" s="1" t="s">
        <v>25</v>
      </c>
      <c r="O205" s="1" t="s">
        <v>55</v>
      </c>
      <c r="P205" s="1" t="s">
        <v>27</v>
      </c>
      <c r="Q205" s="1" t="s">
        <v>1182</v>
      </c>
      <c r="R205" s="1" t="b">
        <f>COUNTIF(  Papers!G:G, RAW_DATA!Q205 ) = 0</f>
        <v>0</v>
      </c>
      <c r="S205" s="1" t="b">
        <f t="shared" si="0"/>
        <v>0</v>
      </c>
    </row>
    <row r="206" spans="1:19" ht="15.75" customHeight="1">
      <c r="A206" s="1" t="s">
        <v>1183</v>
      </c>
      <c r="B206" s="1" t="s">
        <v>1184</v>
      </c>
      <c r="C206" s="1">
        <v>2018</v>
      </c>
      <c r="D206" s="1" t="s">
        <v>1185</v>
      </c>
      <c r="E206" s="1">
        <v>72</v>
      </c>
      <c r="H206" s="1">
        <v>218</v>
      </c>
      <c r="I206" s="1">
        <v>224</v>
      </c>
      <c r="J206" s="1">
        <v>136</v>
      </c>
      <c r="K206" s="1" t="s">
        <v>1186</v>
      </c>
      <c r="L206" s="1" t="s">
        <v>1187</v>
      </c>
      <c r="M206" s="1" t="s">
        <v>54</v>
      </c>
      <c r="N206" s="1" t="s">
        <v>25</v>
      </c>
      <c r="P206" s="1" t="s">
        <v>27</v>
      </c>
      <c r="Q206" s="1" t="s">
        <v>1188</v>
      </c>
      <c r="R206" s="1" t="b">
        <f>COUNTIF(  Papers!G:G, RAW_DATA!Q206 ) = 0</f>
        <v>0</v>
      </c>
      <c r="S206" s="1" t="b">
        <f t="shared" si="0"/>
        <v>0</v>
      </c>
    </row>
    <row r="207" spans="1:19" ht="15.75" customHeight="1">
      <c r="A207" s="1" t="s">
        <v>1189</v>
      </c>
      <c r="B207" s="1" t="s">
        <v>1190</v>
      </c>
      <c r="C207" s="1">
        <v>2021</v>
      </c>
      <c r="D207" s="1" t="s">
        <v>1191</v>
      </c>
      <c r="E207" s="1">
        <v>7</v>
      </c>
      <c r="F207" s="1">
        <v>3</v>
      </c>
      <c r="G207" s="1" t="s">
        <v>1192</v>
      </c>
      <c r="J207" s="1">
        <v>135</v>
      </c>
      <c r="K207" s="1" t="s">
        <v>1193</v>
      </c>
      <c r="L207" s="1" t="s">
        <v>1194</v>
      </c>
      <c r="M207" s="1" t="s">
        <v>24</v>
      </c>
      <c r="N207" s="1" t="s">
        <v>25</v>
      </c>
      <c r="O207" s="1" t="s">
        <v>26</v>
      </c>
      <c r="P207" s="1" t="s">
        <v>27</v>
      </c>
      <c r="Q207" s="1" t="s">
        <v>1195</v>
      </c>
      <c r="R207" s="1" t="b">
        <f>COUNTIF(  Papers!G:G, RAW_DATA!Q207 ) = 0</f>
        <v>0</v>
      </c>
      <c r="S207" s="1" t="b">
        <f t="shared" si="0"/>
        <v>0</v>
      </c>
    </row>
    <row r="208" spans="1:19" ht="15.75" customHeight="1">
      <c r="A208" s="1" t="s">
        <v>1196</v>
      </c>
      <c r="B208" s="1" t="s">
        <v>1197</v>
      </c>
      <c r="C208" s="1">
        <v>2020</v>
      </c>
      <c r="D208" s="1" t="s">
        <v>1198</v>
      </c>
      <c r="E208" s="1">
        <v>9</v>
      </c>
      <c r="F208" s="1">
        <v>12</v>
      </c>
      <c r="G208" s="1">
        <v>2087</v>
      </c>
      <c r="H208" s="1">
        <v>1</v>
      </c>
      <c r="I208" s="1">
        <v>34</v>
      </c>
      <c r="J208" s="1">
        <v>134</v>
      </c>
      <c r="K208" s="1" t="s">
        <v>1199</v>
      </c>
      <c r="L208" s="1" t="s">
        <v>1200</v>
      </c>
      <c r="M208" s="1" t="s">
        <v>24</v>
      </c>
      <c r="N208" s="1" t="s">
        <v>25</v>
      </c>
      <c r="O208" s="1" t="s">
        <v>26</v>
      </c>
      <c r="P208" s="1" t="s">
        <v>27</v>
      </c>
      <c r="Q208" s="1" t="s">
        <v>1201</v>
      </c>
      <c r="R208" s="1" t="b">
        <f>COUNTIF(  Papers!G:G, RAW_DATA!Q208 ) = 0</f>
        <v>0</v>
      </c>
      <c r="S208" s="1" t="b">
        <f t="shared" si="0"/>
        <v>0</v>
      </c>
    </row>
    <row r="209" spans="1:19" ht="15.75" customHeight="1">
      <c r="A209" s="1" t="s">
        <v>1202</v>
      </c>
      <c r="B209" s="1" t="s">
        <v>1203</v>
      </c>
      <c r="C209" s="1">
        <v>2019</v>
      </c>
      <c r="D209" s="1" t="s">
        <v>59</v>
      </c>
      <c r="E209" s="1">
        <v>100</v>
      </c>
      <c r="H209" s="1">
        <v>306</v>
      </c>
      <c r="I209" s="1">
        <v>317</v>
      </c>
      <c r="J209" s="1">
        <v>214</v>
      </c>
      <c r="K209" s="1" t="s">
        <v>1204</v>
      </c>
      <c r="L209" s="1" t="s">
        <v>1205</v>
      </c>
      <c r="M209" s="1" t="s">
        <v>54</v>
      </c>
      <c r="N209" s="1" t="s">
        <v>25</v>
      </c>
      <c r="P209" s="1" t="s">
        <v>27</v>
      </c>
      <c r="Q209" s="1" t="s">
        <v>1206</v>
      </c>
      <c r="R209" s="1" t="b">
        <f>COUNTIF(  Papers!G:G, RAW_DATA!Q209 ) = 0</f>
        <v>0</v>
      </c>
      <c r="S209" s="1" t="b">
        <f t="shared" si="0"/>
        <v>0</v>
      </c>
    </row>
    <row r="210" spans="1:19" ht="15.75" customHeight="1">
      <c r="A210" s="1" t="s">
        <v>1207</v>
      </c>
      <c r="B210" s="1" t="s">
        <v>1208</v>
      </c>
      <c r="C210" s="1">
        <v>2023</v>
      </c>
      <c r="D210" s="1" t="s">
        <v>436</v>
      </c>
      <c r="E210" s="1">
        <v>7</v>
      </c>
      <c r="F210" s="1" t="s">
        <v>437</v>
      </c>
      <c r="G210" s="1">
        <v>116</v>
      </c>
      <c r="J210" s="1">
        <v>135</v>
      </c>
      <c r="K210" s="1" t="s">
        <v>1209</v>
      </c>
      <c r="L210" s="1" t="s">
        <v>1210</v>
      </c>
      <c r="M210" s="1" t="s">
        <v>54</v>
      </c>
      <c r="N210" s="1" t="s">
        <v>25</v>
      </c>
      <c r="P210" s="1" t="s">
        <v>27</v>
      </c>
      <c r="Q210" s="1" t="s">
        <v>1211</v>
      </c>
      <c r="R210" s="1" t="b">
        <f>COUNTIF(  Papers!G:G, RAW_DATA!Q210 ) = 0</f>
        <v>0</v>
      </c>
      <c r="S210" s="1" t="b">
        <f t="shared" si="0"/>
        <v>0</v>
      </c>
    </row>
    <row r="211" spans="1:19" ht="15.75" customHeight="1">
      <c r="A211" s="1" t="s">
        <v>1212</v>
      </c>
      <c r="B211" s="1" t="s">
        <v>1213</v>
      </c>
      <c r="C211" s="1">
        <v>2021</v>
      </c>
      <c r="D211" s="1" t="s">
        <v>90</v>
      </c>
      <c r="E211" s="1">
        <v>12</v>
      </c>
      <c r="G211" s="1">
        <v>589585</v>
      </c>
      <c r="J211" s="1">
        <v>175</v>
      </c>
      <c r="K211" s="1" t="s">
        <v>1214</v>
      </c>
      <c r="L211" s="1" t="s">
        <v>1215</v>
      </c>
      <c r="M211" s="1" t="s">
        <v>24</v>
      </c>
      <c r="N211" s="1" t="s">
        <v>25</v>
      </c>
      <c r="O211" s="1" t="s">
        <v>26</v>
      </c>
      <c r="P211" s="1" t="s">
        <v>27</v>
      </c>
      <c r="Q211" s="1" t="s">
        <v>1216</v>
      </c>
      <c r="R211" s="1" t="b">
        <f>COUNTIF(  Papers!G:G, RAW_DATA!Q211 ) = 0</f>
        <v>0</v>
      </c>
      <c r="S211" s="1" t="b">
        <f t="shared" si="0"/>
        <v>0</v>
      </c>
    </row>
    <row r="212" spans="1:19" ht="15.75" customHeight="1">
      <c r="A212" s="1" t="s">
        <v>1217</v>
      </c>
      <c r="B212" s="1" t="s">
        <v>1218</v>
      </c>
      <c r="C212" s="1">
        <v>2021</v>
      </c>
      <c r="D212" s="1" t="s">
        <v>212</v>
      </c>
      <c r="E212" s="1">
        <v>37</v>
      </c>
      <c r="F212" s="1">
        <v>5</v>
      </c>
      <c r="H212" s="1">
        <v>403</v>
      </c>
      <c r="I212" s="1">
        <v>417</v>
      </c>
      <c r="J212" s="1">
        <v>148</v>
      </c>
      <c r="K212" s="1" t="s">
        <v>1219</v>
      </c>
      <c r="L212" s="1" t="s">
        <v>1220</v>
      </c>
      <c r="M212" s="1" t="s">
        <v>54</v>
      </c>
      <c r="N212" s="1" t="s">
        <v>25</v>
      </c>
      <c r="O212" s="1" t="s">
        <v>324</v>
      </c>
      <c r="P212" s="1" t="s">
        <v>27</v>
      </c>
      <c r="Q212" s="1" t="s">
        <v>1221</v>
      </c>
      <c r="R212" s="1" t="b">
        <f>COUNTIF(  Papers!G:G, RAW_DATA!Q212 ) = 0</f>
        <v>0</v>
      </c>
      <c r="S212" s="1" t="b">
        <f t="shared" si="0"/>
        <v>0</v>
      </c>
    </row>
    <row r="213" spans="1:19" ht="15.75" customHeight="1">
      <c r="A213" s="1" t="s">
        <v>1222</v>
      </c>
      <c r="B213" s="1" t="s">
        <v>1223</v>
      </c>
      <c r="C213" s="1">
        <v>2017</v>
      </c>
      <c r="D213" s="1" t="s">
        <v>788</v>
      </c>
      <c r="E213" s="1">
        <v>47</v>
      </c>
      <c r="F213" s="1">
        <v>4</v>
      </c>
      <c r="G213" s="1">
        <v>7828078</v>
      </c>
      <c r="H213" s="1">
        <v>425</v>
      </c>
      <c r="I213" s="1">
        <v>436</v>
      </c>
      <c r="J213" s="1">
        <v>163</v>
      </c>
      <c r="K213" s="1" t="s">
        <v>1224</v>
      </c>
      <c r="L213" s="1" t="s">
        <v>1225</v>
      </c>
      <c r="M213" s="1" t="s">
        <v>54</v>
      </c>
      <c r="N213" s="1" t="s">
        <v>25</v>
      </c>
      <c r="P213" s="1" t="s">
        <v>27</v>
      </c>
      <c r="Q213" s="1" t="s">
        <v>1226</v>
      </c>
      <c r="R213" s="1" t="b">
        <f>COUNTIF(  Papers!G:G, RAW_DATA!Q213 ) = 0</f>
        <v>0</v>
      </c>
      <c r="S213" s="1" t="b">
        <f t="shared" si="0"/>
        <v>0</v>
      </c>
    </row>
    <row r="214" spans="1:19" ht="15.75" customHeight="1">
      <c r="A214" s="1" t="s">
        <v>1227</v>
      </c>
      <c r="B214" s="1" t="s">
        <v>1228</v>
      </c>
      <c r="C214" s="1">
        <v>2019</v>
      </c>
      <c r="D214" s="1" t="s">
        <v>59</v>
      </c>
      <c r="E214" s="1">
        <v>104</v>
      </c>
      <c r="H214" s="1">
        <v>428</v>
      </c>
      <c r="I214" s="1">
        <v>442</v>
      </c>
      <c r="J214" s="1">
        <v>163</v>
      </c>
      <c r="K214" s="1" t="s">
        <v>1229</v>
      </c>
      <c r="L214" s="1" t="s">
        <v>1230</v>
      </c>
      <c r="M214" s="1" t="s">
        <v>54</v>
      </c>
      <c r="N214" s="1" t="s">
        <v>25</v>
      </c>
      <c r="O214" s="1" t="s">
        <v>100</v>
      </c>
      <c r="P214" s="1" t="s">
        <v>27</v>
      </c>
      <c r="Q214" s="1" t="s">
        <v>1231</v>
      </c>
      <c r="R214" s="1" t="b">
        <f>COUNTIF(  Papers!G:G, RAW_DATA!Q214 ) = 0</f>
        <v>0</v>
      </c>
      <c r="S214" s="1" t="b">
        <f t="shared" si="0"/>
        <v>0</v>
      </c>
    </row>
    <row r="215" spans="1:19" ht="15.75" customHeight="1">
      <c r="A215" s="1" t="s">
        <v>1232</v>
      </c>
      <c r="B215" s="1" t="s">
        <v>1233</v>
      </c>
      <c r="C215" s="1">
        <v>2018</v>
      </c>
      <c r="D215" s="1" t="s">
        <v>165</v>
      </c>
      <c r="H215" s="1">
        <v>307</v>
      </c>
      <c r="I215" s="1">
        <v>315</v>
      </c>
      <c r="J215" s="1">
        <v>213</v>
      </c>
      <c r="K215" s="1" t="s">
        <v>1234</v>
      </c>
      <c r="L215" s="1" t="s">
        <v>1235</v>
      </c>
      <c r="M215" s="1" t="s">
        <v>169</v>
      </c>
      <c r="N215" s="1" t="s">
        <v>25</v>
      </c>
      <c r="P215" s="1" t="s">
        <v>27</v>
      </c>
      <c r="Q215" s="1" t="s">
        <v>1236</v>
      </c>
      <c r="R215" s="1" t="b">
        <f>COUNTIF(  Papers!G:G, RAW_DATA!Q215 ) = 0</f>
        <v>0</v>
      </c>
      <c r="S215" s="1" t="b">
        <f t="shared" si="0"/>
        <v>0</v>
      </c>
    </row>
    <row r="216" spans="1:19" ht="15.75" customHeight="1">
      <c r="A216" s="1" t="s">
        <v>1237</v>
      </c>
      <c r="B216" s="1" t="s">
        <v>1238</v>
      </c>
      <c r="C216" s="1">
        <v>2017</v>
      </c>
      <c r="D216" s="1" t="s">
        <v>1239</v>
      </c>
      <c r="E216" s="1" t="s">
        <v>1240</v>
      </c>
      <c r="H216" s="1">
        <v>19</v>
      </c>
      <c r="I216" s="1">
        <v>26</v>
      </c>
      <c r="J216" s="1">
        <v>152</v>
      </c>
      <c r="L216" s="1" t="s">
        <v>1241</v>
      </c>
      <c r="M216" s="1" t="s">
        <v>169</v>
      </c>
      <c r="N216" s="1" t="s">
        <v>25</v>
      </c>
      <c r="P216" s="1" t="s">
        <v>27</v>
      </c>
      <c r="Q216" s="1" t="s">
        <v>1242</v>
      </c>
      <c r="R216" s="1" t="b">
        <f>COUNTIF(  Papers!G:G, RAW_DATA!Q216 ) = 0</f>
        <v>0</v>
      </c>
      <c r="S216" s="1" t="b">
        <f t="shared" si="0"/>
        <v>0</v>
      </c>
    </row>
    <row r="217" spans="1:19" ht="15.75" customHeight="1">
      <c r="A217" s="1" t="s">
        <v>1243</v>
      </c>
      <c r="B217" s="1" t="s">
        <v>1244</v>
      </c>
      <c r="C217" s="1">
        <v>2023</v>
      </c>
      <c r="D217" s="1" t="s">
        <v>206</v>
      </c>
      <c r="E217" s="1">
        <v>186</v>
      </c>
      <c r="G217" s="1">
        <v>122120</v>
      </c>
      <c r="J217" s="1">
        <v>199</v>
      </c>
      <c r="K217" s="1" t="s">
        <v>1245</v>
      </c>
      <c r="L217" s="1" t="s">
        <v>1246</v>
      </c>
      <c r="M217" s="1" t="s">
        <v>54</v>
      </c>
      <c r="N217" s="1" t="s">
        <v>25</v>
      </c>
      <c r="O217" s="1" t="s">
        <v>100</v>
      </c>
      <c r="P217" s="1" t="s">
        <v>27</v>
      </c>
      <c r="Q217" s="1" t="s">
        <v>1247</v>
      </c>
      <c r="R217" s="1" t="b">
        <f>COUNTIF(  Papers!G:G, RAW_DATA!Q217 ) = 0</f>
        <v>0</v>
      </c>
      <c r="S217" s="1" t="b">
        <f t="shared" si="0"/>
        <v>0</v>
      </c>
    </row>
    <row r="218" spans="1:19" ht="15.75" customHeight="1">
      <c r="A218" s="1" t="s">
        <v>1248</v>
      </c>
      <c r="B218" s="1" t="s">
        <v>1249</v>
      </c>
      <c r="C218" s="1">
        <v>2018</v>
      </c>
      <c r="D218" s="1" t="s">
        <v>1250</v>
      </c>
      <c r="E218" s="1">
        <v>108</v>
      </c>
      <c r="H218" s="1">
        <v>278</v>
      </c>
      <c r="I218" s="1">
        <v>285</v>
      </c>
      <c r="J218" s="1">
        <v>164</v>
      </c>
      <c r="K218" s="1" t="s">
        <v>1251</v>
      </c>
      <c r="L218" s="1" t="s">
        <v>1252</v>
      </c>
      <c r="M218" s="1" t="s">
        <v>54</v>
      </c>
      <c r="N218" s="1" t="s">
        <v>25</v>
      </c>
      <c r="O218" s="1" t="s">
        <v>113</v>
      </c>
      <c r="P218" s="1" t="s">
        <v>27</v>
      </c>
      <c r="Q218" s="1" t="s">
        <v>1253</v>
      </c>
      <c r="R218" s="1" t="b">
        <f>COUNTIF(  Papers!G:G, RAW_DATA!Q218 ) = 0</f>
        <v>0</v>
      </c>
      <c r="S218" s="1" t="b">
        <f t="shared" si="0"/>
        <v>0</v>
      </c>
    </row>
    <row r="219" spans="1:19" ht="15.75" customHeight="1">
      <c r="A219" s="1" t="s">
        <v>1254</v>
      </c>
      <c r="B219" s="1" t="s">
        <v>1255</v>
      </c>
      <c r="C219" s="1">
        <v>2019</v>
      </c>
      <c r="D219" s="1" t="s">
        <v>1256</v>
      </c>
      <c r="E219" s="1">
        <v>38</v>
      </c>
      <c r="F219" s="1">
        <v>10</v>
      </c>
      <c r="H219" s="1">
        <v>1004</v>
      </c>
      <c r="I219" s="1">
        <v>1015</v>
      </c>
      <c r="J219" s="1">
        <v>182</v>
      </c>
      <c r="K219" s="1" t="s">
        <v>1257</v>
      </c>
      <c r="L219" s="1" t="s">
        <v>1258</v>
      </c>
      <c r="M219" s="1" t="s">
        <v>54</v>
      </c>
      <c r="N219" s="1" t="s">
        <v>25</v>
      </c>
      <c r="P219" s="1" t="s">
        <v>27</v>
      </c>
      <c r="Q219" s="1" t="s">
        <v>1259</v>
      </c>
      <c r="R219" s="1" t="b">
        <f>COUNTIF(  Papers!G:G, RAW_DATA!Q219 ) = 0</f>
        <v>0</v>
      </c>
      <c r="S219" s="1" t="b">
        <f t="shared" si="0"/>
        <v>0</v>
      </c>
    </row>
    <row r="220" spans="1:19" ht="15.75" customHeight="1">
      <c r="A220" s="1" t="s">
        <v>1260</v>
      </c>
      <c r="B220" s="1" t="s">
        <v>1261</v>
      </c>
      <c r="C220" s="1">
        <v>2020</v>
      </c>
      <c r="D220" s="1" t="s">
        <v>1262</v>
      </c>
      <c r="E220" s="1">
        <v>7</v>
      </c>
      <c r="F220" s="1">
        <v>5</v>
      </c>
      <c r="G220" s="1">
        <v>9146977</v>
      </c>
      <c r="H220" s="1">
        <v>1289</v>
      </c>
      <c r="I220" s="1">
        <v>1307</v>
      </c>
      <c r="J220" s="1">
        <v>186</v>
      </c>
      <c r="K220" s="1" t="s">
        <v>1263</v>
      </c>
      <c r="L220" s="1" t="s">
        <v>1264</v>
      </c>
      <c r="M220" s="1" t="s">
        <v>24</v>
      </c>
      <c r="N220" s="1" t="s">
        <v>25</v>
      </c>
      <c r="O220" s="1" t="s">
        <v>113</v>
      </c>
      <c r="P220" s="1" t="s">
        <v>27</v>
      </c>
      <c r="Q220" s="1" t="s">
        <v>1265</v>
      </c>
      <c r="R220" s="1" t="b">
        <f>COUNTIF(  Papers!G:G, RAW_DATA!Q220 ) = 0</f>
        <v>0</v>
      </c>
      <c r="S220" s="1" t="b">
        <f t="shared" si="0"/>
        <v>0</v>
      </c>
    </row>
    <row r="221" spans="1:19" ht="15.75" customHeight="1">
      <c r="A221" s="1" t="s">
        <v>1266</v>
      </c>
      <c r="B221" s="1" t="s">
        <v>1267</v>
      </c>
      <c r="C221" s="1">
        <v>2022</v>
      </c>
      <c r="D221" s="1" t="s">
        <v>1268</v>
      </c>
      <c r="E221" s="1">
        <v>51</v>
      </c>
      <c r="F221" s="1">
        <v>15</v>
      </c>
      <c r="H221" s="1">
        <v>6475</v>
      </c>
      <c r="I221" s="1">
        <v>6573</v>
      </c>
      <c r="J221" s="1">
        <v>136</v>
      </c>
      <c r="K221" s="1" t="s">
        <v>1269</v>
      </c>
      <c r="L221" s="1" t="s">
        <v>1270</v>
      </c>
      <c r="M221" s="1" t="s">
        <v>24</v>
      </c>
      <c r="N221" s="1" t="s">
        <v>25</v>
      </c>
      <c r="O221" s="1" t="s">
        <v>100</v>
      </c>
      <c r="P221" s="1" t="s">
        <v>27</v>
      </c>
      <c r="Q221" s="1" t="s">
        <v>1271</v>
      </c>
      <c r="R221" s="1" t="b">
        <f>COUNTIF(  Papers!G:G, RAW_DATA!Q221 ) = 0</f>
        <v>0</v>
      </c>
      <c r="S221" s="1" t="b">
        <f t="shared" si="0"/>
        <v>0</v>
      </c>
    </row>
    <row r="222" spans="1:19" ht="15.75" customHeight="1">
      <c r="A222" s="1" t="s">
        <v>1272</v>
      </c>
      <c r="B222" s="1" t="s">
        <v>1273</v>
      </c>
      <c r="C222" s="1">
        <v>2021</v>
      </c>
      <c r="D222" s="1" t="s">
        <v>1274</v>
      </c>
      <c r="E222" s="1">
        <v>61</v>
      </c>
      <c r="F222" s="1">
        <v>5</v>
      </c>
      <c r="H222" s="1">
        <v>481</v>
      </c>
      <c r="I222" s="1">
        <v>491</v>
      </c>
      <c r="J222" s="1">
        <v>189</v>
      </c>
      <c r="K222" s="1" t="s">
        <v>1275</v>
      </c>
      <c r="L222" s="1" t="s">
        <v>1276</v>
      </c>
      <c r="M222" s="1" t="s">
        <v>54</v>
      </c>
      <c r="N222" s="1" t="s">
        <v>25</v>
      </c>
      <c r="P222" s="1" t="s">
        <v>27</v>
      </c>
      <c r="Q222" s="1" t="s">
        <v>1277</v>
      </c>
      <c r="R222" s="1" t="b">
        <f>COUNTIF(  Papers!G:G, RAW_DATA!Q222 ) = 0</f>
        <v>0</v>
      </c>
      <c r="S222" s="1" t="b">
        <f t="shared" si="0"/>
        <v>0</v>
      </c>
    </row>
    <row r="223" spans="1:19" ht="15.75" customHeight="1">
      <c r="A223" s="1" t="s">
        <v>1278</v>
      </c>
      <c r="B223" s="1" t="s">
        <v>1279</v>
      </c>
      <c r="C223" s="1">
        <v>2022</v>
      </c>
      <c r="D223" s="1" t="s">
        <v>478</v>
      </c>
      <c r="E223" s="1">
        <v>39</v>
      </c>
      <c r="F223" s="1">
        <v>3</v>
      </c>
      <c r="G223" s="1">
        <v>101704</v>
      </c>
      <c r="J223" s="1">
        <v>149</v>
      </c>
      <c r="K223" s="1" t="s">
        <v>1280</v>
      </c>
      <c r="L223" s="1" t="s">
        <v>1281</v>
      </c>
      <c r="M223" s="1" t="s">
        <v>54</v>
      </c>
      <c r="N223" s="1" t="s">
        <v>25</v>
      </c>
      <c r="O223" s="1" t="s">
        <v>55</v>
      </c>
      <c r="P223" s="1" t="s">
        <v>27</v>
      </c>
      <c r="Q223" s="1" t="s">
        <v>1282</v>
      </c>
      <c r="R223" s="1" t="b">
        <f>COUNTIF(  Papers!G:G, RAW_DATA!Q223 ) = 0</f>
        <v>0</v>
      </c>
      <c r="S223" s="1" t="b">
        <f t="shared" si="0"/>
        <v>0</v>
      </c>
    </row>
    <row r="224" spans="1:19" ht="15.75" customHeight="1">
      <c r="A224" s="1" t="s">
        <v>1283</v>
      </c>
      <c r="B224" s="1" t="s">
        <v>1284</v>
      </c>
      <c r="C224" s="1">
        <v>2024</v>
      </c>
      <c r="D224" s="1" t="s">
        <v>189</v>
      </c>
      <c r="E224" s="1">
        <v>150</v>
      </c>
      <c r="G224" s="1">
        <v>107987</v>
      </c>
      <c r="J224" s="1">
        <v>177</v>
      </c>
      <c r="K224" s="1" t="s">
        <v>1285</v>
      </c>
      <c r="L224" s="1" t="s">
        <v>1286</v>
      </c>
      <c r="M224" s="1" t="s">
        <v>54</v>
      </c>
      <c r="N224" s="1" t="s">
        <v>25</v>
      </c>
      <c r="P224" s="1" t="s">
        <v>27</v>
      </c>
      <c r="Q224" s="1" t="s">
        <v>1287</v>
      </c>
      <c r="R224" s="1" t="b">
        <f>COUNTIF(  Papers!G:G, RAW_DATA!Q224 ) = 0</f>
        <v>0</v>
      </c>
      <c r="S224" s="1" t="b">
        <f t="shared" si="0"/>
        <v>0</v>
      </c>
    </row>
    <row r="225" spans="1:19" ht="15.75" customHeight="1">
      <c r="A225" s="1" t="s">
        <v>1288</v>
      </c>
      <c r="B225" s="1" t="s">
        <v>1289</v>
      </c>
      <c r="C225" s="1">
        <v>2023</v>
      </c>
      <c r="D225" s="1" t="s">
        <v>955</v>
      </c>
      <c r="E225" s="1">
        <v>24</v>
      </c>
      <c r="F225" s="1">
        <v>4</v>
      </c>
      <c r="H225" s="1">
        <v>3614</v>
      </c>
      <c r="I225" s="1">
        <v>3637</v>
      </c>
      <c r="J225" s="1">
        <v>141</v>
      </c>
      <c r="K225" s="1" t="s">
        <v>1290</v>
      </c>
      <c r="L225" s="1" t="s">
        <v>1291</v>
      </c>
      <c r="M225" s="1" t="s">
        <v>54</v>
      </c>
      <c r="N225" s="1" t="s">
        <v>25</v>
      </c>
      <c r="P225" s="1" t="s">
        <v>27</v>
      </c>
      <c r="Q225" s="1" t="s">
        <v>1292</v>
      </c>
      <c r="R225" s="1" t="b">
        <f>COUNTIF(  Papers!G:G, RAW_DATA!Q225 ) = 0</f>
        <v>0</v>
      </c>
      <c r="S225" s="1" t="b">
        <f t="shared" si="0"/>
        <v>0</v>
      </c>
    </row>
    <row r="226" spans="1:19" ht="15.75" customHeight="1">
      <c r="A226" s="1" t="s">
        <v>1293</v>
      </c>
      <c r="B226" s="1" t="s">
        <v>1294</v>
      </c>
      <c r="C226" s="1">
        <v>2022</v>
      </c>
      <c r="D226" s="1" t="s">
        <v>1295</v>
      </c>
      <c r="E226" s="1">
        <v>14</v>
      </c>
      <c r="F226" s="1">
        <v>1</v>
      </c>
      <c r="G226" s="1">
        <v>4</v>
      </c>
      <c r="J226" s="1">
        <v>185</v>
      </c>
      <c r="K226" s="1" t="s">
        <v>1296</v>
      </c>
      <c r="L226" s="1" t="s">
        <v>1297</v>
      </c>
      <c r="M226" s="1" t="s">
        <v>54</v>
      </c>
      <c r="N226" s="1" t="s">
        <v>25</v>
      </c>
      <c r="P226" s="1" t="s">
        <v>27</v>
      </c>
      <c r="Q226" s="1" t="s">
        <v>1298</v>
      </c>
      <c r="R226" s="1" t="b">
        <f>COUNTIF(  Papers!G:G, RAW_DATA!Q226 ) = 0</f>
        <v>0</v>
      </c>
      <c r="S226" s="1" t="b">
        <f t="shared" si="0"/>
        <v>0</v>
      </c>
    </row>
    <row r="227" spans="1:19" ht="15.75" customHeight="1">
      <c r="A227" s="1" t="s">
        <v>1299</v>
      </c>
      <c r="B227" s="1" t="s">
        <v>1300</v>
      </c>
      <c r="C227" s="1">
        <v>2023</v>
      </c>
      <c r="D227" s="1" t="s">
        <v>586</v>
      </c>
      <c r="E227" s="1">
        <v>7</v>
      </c>
      <c r="F227" s="1">
        <v>11</v>
      </c>
      <c r="H227" s="1">
        <v>1845</v>
      </c>
      <c r="I227" s="1">
        <v>1854</v>
      </c>
      <c r="J227" s="1">
        <v>151</v>
      </c>
      <c r="K227" s="1" t="s">
        <v>1301</v>
      </c>
      <c r="L227" s="1" t="s">
        <v>1302</v>
      </c>
      <c r="M227" s="1" t="s">
        <v>54</v>
      </c>
      <c r="N227" s="1" t="s">
        <v>25</v>
      </c>
      <c r="P227" s="1" t="s">
        <v>27</v>
      </c>
      <c r="Q227" s="1" t="s">
        <v>1303</v>
      </c>
      <c r="R227" s="1" t="b">
        <f>COUNTIF(  Papers!G:G, RAW_DATA!Q227 ) = 0</f>
        <v>0</v>
      </c>
      <c r="S227" s="1" t="b">
        <f t="shared" si="0"/>
        <v>0</v>
      </c>
    </row>
    <row r="228" spans="1:19" ht="15.75" customHeight="1">
      <c r="A228" s="1" t="s">
        <v>1304</v>
      </c>
      <c r="B228" s="1" t="s">
        <v>1305</v>
      </c>
      <c r="C228" s="1">
        <v>2022</v>
      </c>
      <c r="D228" s="1" t="s">
        <v>1306</v>
      </c>
      <c r="E228" s="1">
        <v>12</v>
      </c>
      <c r="F228" s="1">
        <v>12</v>
      </c>
      <c r="H228" s="1">
        <v>2637</v>
      </c>
      <c r="I228" s="1">
        <v>2651</v>
      </c>
      <c r="J228" s="1">
        <v>133</v>
      </c>
      <c r="K228" s="1" t="s">
        <v>1307</v>
      </c>
      <c r="L228" s="1" t="s">
        <v>1308</v>
      </c>
      <c r="M228" s="1" t="s">
        <v>54</v>
      </c>
      <c r="N228" s="1" t="s">
        <v>25</v>
      </c>
      <c r="O228" s="1" t="s">
        <v>26</v>
      </c>
      <c r="P228" s="1" t="s">
        <v>27</v>
      </c>
      <c r="Q228" s="1" t="s">
        <v>1309</v>
      </c>
      <c r="R228" s="1" t="b">
        <f>COUNTIF(  Papers!G:G, RAW_DATA!Q228 ) = 0</f>
        <v>0</v>
      </c>
      <c r="S228" s="1" t="b">
        <f t="shared" si="0"/>
        <v>0</v>
      </c>
    </row>
    <row r="229" spans="1:19" ht="15.75" customHeight="1">
      <c r="A229" s="1" t="s">
        <v>1310</v>
      </c>
      <c r="B229" s="1" t="s">
        <v>1311</v>
      </c>
      <c r="C229" s="1">
        <v>2017</v>
      </c>
      <c r="D229" s="1" t="s">
        <v>443</v>
      </c>
      <c r="H229" s="1">
        <v>319</v>
      </c>
      <c r="I229" s="1">
        <v>329</v>
      </c>
      <c r="J229" s="1">
        <v>166</v>
      </c>
      <c r="K229" s="1" t="s">
        <v>1312</v>
      </c>
      <c r="L229" s="1" t="s">
        <v>1313</v>
      </c>
      <c r="M229" s="1" t="s">
        <v>169</v>
      </c>
      <c r="N229" s="1" t="s">
        <v>25</v>
      </c>
      <c r="P229" s="1" t="s">
        <v>27</v>
      </c>
      <c r="Q229" s="1" t="s">
        <v>1314</v>
      </c>
      <c r="R229" s="1" t="b">
        <f>COUNTIF(  Papers!G:G, RAW_DATA!Q229 ) = 0</f>
        <v>0</v>
      </c>
      <c r="S229" s="1" t="b">
        <f t="shared" si="0"/>
        <v>0</v>
      </c>
    </row>
    <row r="230" spans="1:19" ht="15.75" customHeight="1">
      <c r="A230" s="1" t="s">
        <v>1315</v>
      </c>
      <c r="B230" s="1" t="s">
        <v>1316</v>
      </c>
      <c r="C230" s="1">
        <v>2022</v>
      </c>
      <c r="D230" s="1" t="s">
        <v>1317</v>
      </c>
      <c r="E230" s="1">
        <v>513</v>
      </c>
      <c r="H230" s="1">
        <v>165</v>
      </c>
      <c r="I230" s="1">
        <v>180</v>
      </c>
      <c r="J230" s="1">
        <v>135</v>
      </c>
      <c r="K230" s="1" t="s">
        <v>1318</v>
      </c>
      <c r="L230" s="1" t="s">
        <v>1319</v>
      </c>
      <c r="M230" s="1" t="s">
        <v>1148</v>
      </c>
      <c r="N230" s="1" t="s">
        <v>25</v>
      </c>
      <c r="O230" s="1" t="s">
        <v>100</v>
      </c>
      <c r="P230" s="1" t="s">
        <v>27</v>
      </c>
      <c r="Q230" s="1" t="s">
        <v>1320</v>
      </c>
      <c r="R230" s="1" t="b">
        <f>COUNTIF(  Papers!G:G, RAW_DATA!Q230 ) = 0</f>
        <v>0</v>
      </c>
      <c r="S230" s="1" t="b">
        <f t="shared" si="0"/>
        <v>0</v>
      </c>
    </row>
    <row r="231" spans="1:19" ht="15.75" customHeight="1">
      <c r="A231" s="1" t="s">
        <v>1321</v>
      </c>
      <c r="B231" s="1" t="s">
        <v>1322</v>
      </c>
      <c r="C231" s="1">
        <v>2023</v>
      </c>
      <c r="D231" s="1" t="s">
        <v>189</v>
      </c>
      <c r="E231" s="1">
        <v>148</v>
      </c>
      <c r="G231" s="1">
        <v>107903</v>
      </c>
      <c r="J231" s="1">
        <v>148</v>
      </c>
      <c r="K231" s="1" t="s">
        <v>1323</v>
      </c>
      <c r="L231" s="1" t="s">
        <v>1324</v>
      </c>
      <c r="M231" s="1" t="s">
        <v>54</v>
      </c>
      <c r="N231" s="1" t="s">
        <v>25</v>
      </c>
      <c r="O231" s="1" t="s">
        <v>100</v>
      </c>
      <c r="P231" s="1" t="s">
        <v>27</v>
      </c>
      <c r="Q231" s="1" t="s">
        <v>1325</v>
      </c>
      <c r="R231" s="1" t="b">
        <f>COUNTIF(  Papers!G:G, RAW_DATA!Q231 ) = 0</f>
        <v>0</v>
      </c>
      <c r="S231" s="1" t="b">
        <f t="shared" si="0"/>
        <v>0</v>
      </c>
    </row>
    <row r="232" spans="1:19" ht="15.75" customHeight="1">
      <c r="A232" s="1" t="s">
        <v>1326</v>
      </c>
      <c r="B232" s="1" t="s">
        <v>1327</v>
      </c>
      <c r="C232" s="1">
        <v>2023</v>
      </c>
      <c r="D232" s="1" t="s">
        <v>397</v>
      </c>
      <c r="H232" s="1">
        <v>1369</v>
      </c>
      <c r="I232" s="1">
        <v>1385</v>
      </c>
      <c r="J232" s="1">
        <v>138</v>
      </c>
      <c r="K232" s="1" t="s">
        <v>1328</v>
      </c>
      <c r="L232" s="1" t="s">
        <v>1329</v>
      </c>
      <c r="M232" s="1" t="s">
        <v>169</v>
      </c>
      <c r="N232" s="1" t="s">
        <v>25</v>
      </c>
      <c r="P232" s="1" t="s">
        <v>27</v>
      </c>
      <c r="Q232" s="1" t="s">
        <v>1330</v>
      </c>
      <c r="R232" s="1" t="b">
        <f>COUNTIF(  Papers!G:G, RAW_DATA!Q232 ) = 0</f>
        <v>0</v>
      </c>
      <c r="S232" s="1" t="b">
        <f t="shared" si="0"/>
        <v>0</v>
      </c>
    </row>
    <row r="233" spans="1:19" ht="15.75" customHeight="1">
      <c r="A233" s="1" t="s">
        <v>1331</v>
      </c>
      <c r="B233" s="1" t="s">
        <v>1332</v>
      </c>
      <c r="C233" s="1">
        <v>2023</v>
      </c>
      <c r="D233" s="1" t="s">
        <v>397</v>
      </c>
      <c r="H233" s="1">
        <v>333</v>
      </c>
      <c r="I233" s="1">
        <v>342</v>
      </c>
      <c r="J233" s="1">
        <v>139</v>
      </c>
      <c r="K233" s="1" t="s">
        <v>1333</v>
      </c>
      <c r="L233" s="1" t="s">
        <v>1334</v>
      </c>
      <c r="M233" s="1" t="s">
        <v>169</v>
      </c>
      <c r="N233" s="1" t="s">
        <v>25</v>
      </c>
      <c r="P233" s="1" t="s">
        <v>27</v>
      </c>
      <c r="Q233" s="1" t="s">
        <v>1335</v>
      </c>
      <c r="R233" s="1" t="b">
        <f>COUNTIF(  Papers!G:G, RAW_DATA!Q233 ) = 0</f>
        <v>0</v>
      </c>
      <c r="S233" s="1" t="b">
        <f t="shared" si="0"/>
        <v>0</v>
      </c>
    </row>
    <row r="234" spans="1:19" ht="15.75" customHeight="1">
      <c r="A234" s="1" t="s">
        <v>1336</v>
      </c>
      <c r="B234" s="1" t="s">
        <v>1337</v>
      </c>
      <c r="C234" s="1">
        <v>2022</v>
      </c>
      <c r="D234" s="1" t="s">
        <v>478</v>
      </c>
      <c r="E234" s="1">
        <v>39</v>
      </c>
      <c r="F234" s="1">
        <v>4</v>
      </c>
      <c r="G234" s="1">
        <v>101679</v>
      </c>
      <c r="J234" s="1">
        <v>187</v>
      </c>
      <c r="K234" s="1" t="s">
        <v>1338</v>
      </c>
      <c r="L234" s="1" t="s">
        <v>1339</v>
      </c>
      <c r="M234" s="1" t="s">
        <v>54</v>
      </c>
      <c r="N234" s="1" t="s">
        <v>25</v>
      </c>
      <c r="O234" s="1" t="s">
        <v>100</v>
      </c>
      <c r="P234" s="1" t="s">
        <v>27</v>
      </c>
      <c r="Q234" s="1" t="s">
        <v>1340</v>
      </c>
      <c r="R234" s="1" t="b">
        <f>COUNTIF(  Papers!G:G, RAW_DATA!Q234 ) = 0</f>
        <v>0</v>
      </c>
      <c r="S234" s="1" t="b">
        <f t="shared" si="0"/>
        <v>0</v>
      </c>
    </row>
    <row r="235" spans="1:19" ht="15.75" customHeight="1">
      <c r="A235" s="1" t="s">
        <v>1341</v>
      </c>
      <c r="B235" s="1" t="s">
        <v>1342</v>
      </c>
      <c r="C235" s="1">
        <v>2024</v>
      </c>
      <c r="D235" s="1" t="s">
        <v>189</v>
      </c>
      <c r="E235" s="1">
        <v>160</v>
      </c>
      <c r="G235" s="1">
        <v>108352</v>
      </c>
      <c r="J235" s="1">
        <v>176</v>
      </c>
      <c r="K235" s="1" t="s">
        <v>1343</v>
      </c>
      <c r="L235" s="1" t="s">
        <v>1344</v>
      </c>
      <c r="M235" s="1" t="s">
        <v>54</v>
      </c>
      <c r="N235" s="1" t="s">
        <v>25</v>
      </c>
      <c r="O235" s="1" t="s">
        <v>55</v>
      </c>
      <c r="P235" s="1" t="s">
        <v>27</v>
      </c>
      <c r="Q235" s="1" t="s">
        <v>1345</v>
      </c>
      <c r="R235" s="1" t="b">
        <f>COUNTIF(  Papers!G:G, RAW_DATA!Q235 ) = 0</f>
        <v>0</v>
      </c>
      <c r="S235" s="1" t="b">
        <f t="shared" si="0"/>
        <v>0</v>
      </c>
    </row>
    <row r="236" spans="1:19" ht="15.75" customHeight="1">
      <c r="A236" s="1" t="s">
        <v>1346</v>
      </c>
      <c r="B236" s="1" t="s">
        <v>1347</v>
      </c>
      <c r="C236" s="1">
        <v>2020</v>
      </c>
      <c r="D236" s="1" t="s">
        <v>304</v>
      </c>
      <c r="E236" s="1">
        <v>75</v>
      </c>
      <c r="H236" s="1">
        <v>66</v>
      </c>
      <c r="I236" s="1">
        <v>86</v>
      </c>
      <c r="J236" s="1">
        <v>156</v>
      </c>
      <c r="K236" s="1" t="s">
        <v>1348</v>
      </c>
      <c r="L236" s="1" t="s">
        <v>1349</v>
      </c>
      <c r="M236" s="1" t="s">
        <v>54</v>
      </c>
      <c r="N236" s="1" t="s">
        <v>25</v>
      </c>
      <c r="O236" s="1" t="s">
        <v>100</v>
      </c>
      <c r="P236" s="1" t="s">
        <v>27</v>
      </c>
      <c r="Q236" s="1" t="s">
        <v>1350</v>
      </c>
      <c r="R236" s="1" t="b">
        <f>COUNTIF(  Papers!G:G, RAW_DATA!Q236 ) = 0</f>
        <v>0</v>
      </c>
      <c r="S236" s="1" t="b">
        <f t="shared" si="0"/>
        <v>0</v>
      </c>
    </row>
    <row r="237" spans="1:19" ht="15.75" customHeight="1">
      <c r="A237" s="1" t="s">
        <v>1351</v>
      </c>
      <c r="B237" s="1" t="s">
        <v>1352</v>
      </c>
      <c r="C237" s="1">
        <v>2018</v>
      </c>
      <c r="D237" s="1" t="s">
        <v>173</v>
      </c>
      <c r="E237" s="1">
        <v>8</v>
      </c>
      <c r="F237" s="1">
        <v>4</v>
      </c>
      <c r="G237" s="1">
        <v>27</v>
      </c>
      <c r="J237" s="1">
        <v>135</v>
      </c>
      <c r="K237" s="1" t="s">
        <v>1353</v>
      </c>
      <c r="L237" s="1" t="s">
        <v>1354</v>
      </c>
      <c r="M237" s="1" t="s">
        <v>54</v>
      </c>
      <c r="N237" s="1" t="s">
        <v>25</v>
      </c>
      <c r="O237" s="1" t="s">
        <v>120</v>
      </c>
      <c r="P237" s="1" t="s">
        <v>27</v>
      </c>
      <c r="Q237" s="1" t="s">
        <v>1355</v>
      </c>
      <c r="R237" s="1" t="b">
        <f>COUNTIF(  Papers!G:G, RAW_DATA!Q237 ) = 0</f>
        <v>0</v>
      </c>
      <c r="S237" s="1" t="b">
        <f t="shared" si="0"/>
        <v>0</v>
      </c>
    </row>
    <row r="238" spans="1:19" ht="15.75" customHeight="1">
      <c r="A238" s="1" t="s">
        <v>1356</v>
      </c>
      <c r="B238" s="1" t="s">
        <v>1357</v>
      </c>
      <c r="C238" s="1">
        <v>2020</v>
      </c>
      <c r="D238" s="1" t="s">
        <v>1358</v>
      </c>
      <c r="E238" s="1">
        <v>12</v>
      </c>
      <c r="F238" s="1">
        <v>12</v>
      </c>
      <c r="G238" s="1">
        <v>226</v>
      </c>
      <c r="H238" s="1">
        <v>1</v>
      </c>
      <c r="I238" s="1">
        <v>14</v>
      </c>
      <c r="J238" s="1">
        <v>183</v>
      </c>
      <c r="K238" s="1" t="s">
        <v>1359</v>
      </c>
      <c r="L238" s="1" t="s">
        <v>1360</v>
      </c>
      <c r="M238" s="1" t="s">
        <v>54</v>
      </c>
      <c r="N238" s="1" t="s">
        <v>25</v>
      </c>
      <c r="O238" s="1" t="s">
        <v>26</v>
      </c>
      <c r="P238" s="1" t="s">
        <v>27</v>
      </c>
      <c r="Q238" s="1" t="s">
        <v>1361</v>
      </c>
      <c r="R238" s="1" t="b">
        <f>COUNTIF(  Papers!G:G, RAW_DATA!Q238 ) = 0</f>
        <v>0</v>
      </c>
      <c r="S238" s="1" t="b">
        <f t="shared" si="0"/>
        <v>0</v>
      </c>
    </row>
    <row r="239" spans="1:19" ht="15.75" customHeight="1">
      <c r="A239" s="1" t="s">
        <v>1362</v>
      </c>
      <c r="B239" s="1" t="s">
        <v>1363</v>
      </c>
      <c r="C239" s="1">
        <v>2019</v>
      </c>
      <c r="D239" s="1" t="s">
        <v>608</v>
      </c>
      <c r="E239" s="1">
        <v>20</v>
      </c>
      <c r="F239" s="1">
        <v>6</v>
      </c>
      <c r="H239" s="1">
        <v>682</v>
      </c>
      <c r="I239" s="1">
        <v>710</v>
      </c>
      <c r="J239" s="1">
        <v>187</v>
      </c>
      <c r="K239" s="1" t="s">
        <v>1364</v>
      </c>
      <c r="L239" s="1" t="s">
        <v>1365</v>
      </c>
      <c r="M239" s="1" t="s">
        <v>54</v>
      </c>
      <c r="N239" s="1" t="s">
        <v>25</v>
      </c>
      <c r="O239" s="1" t="s">
        <v>120</v>
      </c>
      <c r="P239" s="1" t="s">
        <v>27</v>
      </c>
      <c r="Q239" s="1" t="s">
        <v>1366</v>
      </c>
      <c r="R239" s="1" t="b">
        <f>COUNTIF(  Papers!G:G, RAW_DATA!Q239 ) = 0</f>
        <v>0</v>
      </c>
      <c r="S239" s="1" t="b">
        <f t="shared" si="0"/>
        <v>0</v>
      </c>
    </row>
    <row r="240" spans="1:19" ht="15.75" customHeight="1">
      <c r="A240" s="1" t="s">
        <v>1367</v>
      </c>
      <c r="B240" s="1" t="s">
        <v>1368</v>
      </c>
      <c r="C240" s="1">
        <v>2018</v>
      </c>
      <c r="D240" s="1" t="s">
        <v>304</v>
      </c>
      <c r="E240" s="1">
        <v>58</v>
      </c>
      <c r="H240" s="1">
        <v>319</v>
      </c>
      <c r="I240" s="1">
        <v>328</v>
      </c>
      <c r="J240" s="1">
        <v>146</v>
      </c>
      <c r="K240" s="1" t="s">
        <v>1369</v>
      </c>
      <c r="L240" s="1" t="s">
        <v>1370</v>
      </c>
      <c r="M240" s="1" t="s">
        <v>54</v>
      </c>
      <c r="N240" s="1" t="s">
        <v>25</v>
      </c>
      <c r="P240" s="1" t="s">
        <v>27</v>
      </c>
      <c r="Q240" s="1" t="s">
        <v>1371</v>
      </c>
      <c r="R240" s="1" t="b">
        <f>COUNTIF(  Papers!G:G, RAW_DATA!Q240 ) = 0</f>
        <v>0</v>
      </c>
      <c r="S240" s="1" t="b">
        <f t="shared" si="0"/>
        <v>0</v>
      </c>
    </row>
    <row r="241" spans="1:19" ht="15.75" customHeight="1">
      <c r="A241" s="1" t="s">
        <v>1372</v>
      </c>
      <c r="B241" s="1" t="s">
        <v>1373</v>
      </c>
      <c r="C241" s="1">
        <v>2016</v>
      </c>
      <c r="D241" s="1" t="s">
        <v>84</v>
      </c>
      <c r="E241" s="1">
        <v>58</v>
      </c>
      <c r="F241" s="1">
        <v>2</v>
      </c>
      <c r="H241" s="1">
        <v>229</v>
      </c>
      <c r="I241" s="1">
        <v>241</v>
      </c>
      <c r="J241" s="1">
        <v>204</v>
      </c>
      <c r="K241" s="1" t="s">
        <v>1374</v>
      </c>
      <c r="L241" s="1" t="s">
        <v>1375</v>
      </c>
      <c r="M241" s="1" t="s">
        <v>54</v>
      </c>
      <c r="N241" s="1" t="s">
        <v>25</v>
      </c>
      <c r="P241" s="1" t="s">
        <v>27</v>
      </c>
      <c r="Q241" s="1" t="s">
        <v>1376</v>
      </c>
      <c r="R241" s="1" t="b">
        <f>COUNTIF(  Papers!G:G, RAW_DATA!Q241 ) = 0</f>
        <v>0</v>
      </c>
      <c r="S241" s="1" t="b">
        <f t="shared" si="0"/>
        <v>0</v>
      </c>
    </row>
    <row r="242" spans="1:19" ht="15.75" customHeight="1">
      <c r="A242" s="1" t="s">
        <v>1377</v>
      </c>
      <c r="B242" s="1" t="s">
        <v>1378</v>
      </c>
      <c r="C242" s="1">
        <v>2022</v>
      </c>
      <c r="D242" s="1" t="s">
        <v>1379</v>
      </c>
      <c r="E242" s="1">
        <v>7</v>
      </c>
      <c r="F242" s="1">
        <v>3</v>
      </c>
      <c r="H242" s="1">
        <v>417</v>
      </c>
      <c r="I242" s="1">
        <v>440</v>
      </c>
      <c r="J242" s="1">
        <v>165</v>
      </c>
      <c r="K242" s="1" t="s">
        <v>1380</v>
      </c>
      <c r="L242" s="1" t="s">
        <v>1381</v>
      </c>
      <c r="M242" s="1" t="s">
        <v>54</v>
      </c>
      <c r="N242" s="1" t="s">
        <v>25</v>
      </c>
      <c r="O242" s="1" t="s">
        <v>113</v>
      </c>
      <c r="P242" s="1" t="s">
        <v>27</v>
      </c>
      <c r="Q242" s="1" t="s">
        <v>1382</v>
      </c>
      <c r="R242" s="1" t="b">
        <f>COUNTIF(  Papers!G:G, RAW_DATA!Q242 ) = 0</f>
        <v>0</v>
      </c>
      <c r="S242" s="1" t="b">
        <f t="shared" si="0"/>
        <v>0</v>
      </c>
    </row>
    <row r="243" spans="1:19" ht="15.75" customHeight="1">
      <c r="A243" s="1" t="s">
        <v>1383</v>
      </c>
      <c r="B243" s="1" t="s">
        <v>1384</v>
      </c>
      <c r="C243" s="1">
        <v>2024</v>
      </c>
      <c r="D243" s="1" t="s">
        <v>1385</v>
      </c>
      <c r="E243" s="1">
        <v>11</v>
      </c>
      <c r="F243" s="1">
        <v>1</v>
      </c>
      <c r="G243" s="1">
        <v>1568</v>
      </c>
      <c r="J243" s="1">
        <v>199</v>
      </c>
      <c r="K243" s="1" t="s">
        <v>1386</v>
      </c>
      <c r="L243" s="1" t="s">
        <v>1387</v>
      </c>
      <c r="M243" s="1" t="s">
        <v>24</v>
      </c>
      <c r="N243" s="1" t="s">
        <v>25</v>
      </c>
      <c r="O243" s="1" t="s">
        <v>26</v>
      </c>
      <c r="P243" s="1" t="s">
        <v>27</v>
      </c>
      <c r="Q243" s="1" t="s">
        <v>1388</v>
      </c>
      <c r="R243" s="1" t="b">
        <f>COUNTIF(  Papers!G:G, RAW_DATA!Q243 ) = 0</f>
        <v>0</v>
      </c>
      <c r="S243" s="1" t="b">
        <f t="shared" si="0"/>
        <v>0</v>
      </c>
    </row>
    <row r="244" spans="1:19" ht="15.75" customHeight="1">
      <c r="A244" s="1" t="s">
        <v>1389</v>
      </c>
      <c r="B244" s="1" t="s">
        <v>1390</v>
      </c>
      <c r="C244" s="1">
        <v>2022</v>
      </c>
      <c r="D244" s="1" t="s">
        <v>206</v>
      </c>
      <c r="E244" s="1">
        <v>180</v>
      </c>
      <c r="G244" s="1">
        <v>121711</v>
      </c>
      <c r="J244" s="1">
        <v>213</v>
      </c>
      <c r="K244" s="1" t="s">
        <v>1391</v>
      </c>
      <c r="L244" s="1" t="s">
        <v>1392</v>
      </c>
      <c r="M244" s="1" t="s">
        <v>54</v>
      </c>
      <c r="N244" s="1" t="s">
        <v>25</v>
      </c>
      <c r="P244" s="1" t="s">
        <v>27</v>
      </c>
      <c r="Q244" s="1" t="s">
        <v>1393</v>
      </c>
      <c r="R244" s="1" t="b">
        <f>COUNTIF(  Papers!G:G, RAW_DATA!Q244 ) = 0</f>
        <v>0</v>
      </c>
      <c r="S244" s="1" t="b">
        <f t="shared" si="0"/>
        <v>0</v>
      </c>
    </row>
    <row r="245" spans="1:19" ht="15.75" customHeight="1">
      <c r="A245" s="1" t="s">
        <v>1394</v>
      </c>
      <c r="B245" s="1" t="s">
        <v>1395</v>
      </c>
      <c r="C245" s="1">
        <v>2019</v>
      </c>
      <c r="D245" s="1" t="s">
        <v>1396</v>
      </c>
      <c r="E245" s="1">
        <v>29</v>
      </c>
      <c r="F245" s="1">
        <v>1</v>
      </c>
      <c r="H245" s="1">
        <v>31</v>
      </c>
      <c r="I245" s="1">
        <v>43</v>
      </c>
      <c r="J245" s="1">
        <v>185</v>
      </c>
      <c r="K245" s="1" t="s">
        <v>1397</v>
      </c>
      <c r="L245" s="1" t="s">
        <v>1398</v>
      </c>
      <c r="M245" s="1" t="s">
        <v>54</v>
      </c>
      <c r="N245" s="1" t="s">
        <v>25</v>
      </c>
      <c r="P245" s="1" t="s">
        <v>27</v>
      </c>
      <c r="Q245" s="1" t="s">
        <v>1399</v>
      </c>
      <c r="R245" s="1" t="b">
        <f>COUNTIF(  Papers!G:G, RAW_DATA!Q245 ) = 0</f>
        <v>0</v>
      </c>
      <c r="S245" s="1" t="b">
        <f t="shared" si="0"/>
        <v>0</v>
      </c>
    </row>
    <row r="246" spans="1:19" ht="15.75" customHeight="1">
      <c r="A246" s="1" t="s">
        <v>1400</v>
      </c>
      <c r="B246" s="1" t="s">
        <v>1401</v>
      </c>
      <c r="C246" s="1">
        <v>2020</v>
      </c>
      <c r="D246" s="1" t="s">
        <v>59</v>
      </c>
      <c r="E246" s="1">
        <v>112</v>
      </c>
      <c r="H246" s="1">
        <v>78</v>
      </c>
      <c r="I246" s="1">
        <v>87</v>
      </c>
      <c r="J246" s="1">
        <v>140</v>
      </c>
      <c r="K246" s="1" t="s">
        <v>1402</v>
      </c>
      <c r="L246" s="1" t="s">
        <v>1403</v>
      </c>
      <c r="M246" s="1" t="s">
        <v>54</v>
      </c>
      <c r="N246" s="1" t="s">
        <v>25</v>
      </c>
      <c r="O246" s="1" t="s">
        <v>100</v>
      </c>
      <c r="P246" s="1" t="s">
        <v>27</v>
      </c>
      <c r="Q246" s="1" t="s">
        <v>1404</v>
      </c>
      <c r="R246" s="1" t="b">
        <f>COUNTIF(  Papers!G:G, RAW_DATA!Q246 ) = 0</f>
        <v>0</v>
      </c>
      <c r="S246" s="1" t="b">
        <f t="shared" si="0"/>
        <v>0</v>
      </c>
    </row>
    <row r="247" spans="1:19" ht="15.75" customHeight="1">
      <c r="A247" s="1" t="s">
        <v>1405</v>
      </c>
      <c r="B247" s="1" t="s">
        <v>1406</v>
      </c>
      <c r="C247" s="1">
        <v>2022</v>
      </c>
      <c r="D247" s="1" t="s">
        <v>1407</v>
      </c>
      <c r="E247" s="1">
        <v>4</v>
      </c>
      <c r="F247" s="1">
        <v>2</v>
      </c>
      <c r="H247" s="1">
        <v>556</v>
      </c>
      <c r="I247" s="1">
        <v>579</v>
      </c>
      <c r="J247" s="1">
        <v>147</v>
      </c>
      <c r="K247" s="1" t="s">
        <v>1408</v>
      </c>
      <c r="L247" s="1" t="s">
        <v>1409</v>
      </c>
      <c r="M247" s="1" t="s">
        <v>54</v>
      </c>
      <c r="N247" s="1" t="s">
        <v>25</v>
      </c>
      <c r="O247" s="1" t="s">
        <v>26</v>
      </c>
      <c r="P247" s="1" t="s">
        <v>27</v>
      </c>
      <c r="Q247" s="1" t="s">
        <v>1410</v>
      </c>
      <c r="R247" s="1" t="b">
        <f>COUNTIF(  Papers!G:G, RAW_DATA!Q247 ) = 0</f>
        <v>0</v>
      </c>
      <c r="S247" s="1" t="b">
        <f t="shared" si="0"/>
        <v>0</v>
      </c>
    </row>
    <row r="248" spans="1:19" ht="15.75" customHeight="1">
      <c r="A248" s="1" t="s">
        <v>1411</v>
      </c>
      <c r="B248" s="1" t="s">
        <v>1412</v>
      </c>
      <c r="C248" s="1">
        <v>2018</v>
      </c>
      <c r="D248" s="1" t="s">
        <v>530</v>
      </c>
      <c r="E248" s="1">
        <v>70</v>
      </c>
      <c r="H248" s="1">
        <v>77</v>
      </c>
      <c r="I248" s="1">
        <v>87</v>
      </c>
      <c r="J248" s="1">
        <v>134</v>
      </c>
      <c r="K248" s="1" t="s">
        <v>1413</v>
      </c>
      <c r="L248" s="1" t="s">
        <v>1414</v>
      </c>
      <c r="M248" s="1" t="s">
        <v>54</v>
      </c>
      <c r="N248" s="1" t="s">
        <v>25</v>
      </c>
      <c r="O248" s="1" t="s">
        <v>113</v>
      </c>
      <c r="P248" s="1" t="s">
        <v>27</v>
      </c>
      <c r="Q248" s="1" t="s">
        <v>1415</v>
      </c>
      <c r="R248" s="1" t="b">
        <f>COUNTIF(  Papers!G:G, RAW_DATA!Q248 ) = 0</f>
        <v>0</v>
      </c>
      <c r="S248" s="1" t="b">
        <f t="shared" si="0"/>
        <v>0</v>
      </c>
    </row>
    <row r="249" spans="1:19" ht="15.75" customHeight="1">
      <c r="A249" s="1" t="s">
        <v>1416</v>
      </c>
      <c r="B249" s="1" t="s">
        <v>1417</v>
      </c>
      <c r="C249" s="1">
        <v>2024</v>
      </c>
      <c r="D249" s="1" t="s">
        <v>1418</v>
      </c>
      <c r="E249" s="1">
        <v>3</v>
      </c>
      <c r="F249" s="1">
        <v>9</v>
      </c>
      <c r="G249" s="1" t="s">
        <v>1419</v>
      </c>
      <c r="J249" s="1">
        <v>211</v>
      </c>
      <c r="K249" s="1" t="s">
        <v>1420</v>
      </c>
      <c r="L249" s="1" t="s">
        <v>1421</v>
      </c>
      <c r="M249" s="1" t="s">
        <v>54</v>
      </c>
      <c r="N249" s="1" t="s">
        <v>25</v>
      </c>
      <c r="O249" s="1" t="s">
        <v>26</v>
      </c>
      <c r="P249" s="1" t="s">
        <v>27</v>
      </c>
      <c r="Q249" s="1" t="s">
        <v>1422</v>
      </c>
      <c r="R249" s="1" t="b">
        <f>COUNTIF(  Papers!G:G, RAW_DATA!Q249 ) = 0</f>
        <v>0</v>
      </c>
      <c r="S249" s="1" t="b">
        <f t="shared" si="0"/>
        <v>0</v>
      </c>
    </row>
    <row r="250" spans="1:19" ht="15.75" customHeight="1">
      <c r="A250" s="1" t="s">
        <v>1423</v>
      </c>
      <c r="B250" s="1" t="s">
        <v>1424</v>
      </c>
      <c r="C250" s="1">
        <v>2020</v>
      </c>
      <c r="D250" s="1" t="s">
        <v>136</v>
      </c>
      <c r="E250" s="1">
        <v>62</v>
      </c>
      <c r="F250" s="1">
        <v>3</v>
      </c>
      <c r="H250" s="1">
        <v>193</v>
      </c>
      <c r="I250" s="1">
        <v>209</v>
      </c>
      <c r="J250" s="1">
        <v>137</v>
      </c>
      <c r="K250" s="1" t="s">
        <v>1425</v>
      </c>
      <c r="L250" s="1" t="s">
        <v>1426</v>
      </c>
      <c r="M250" s="1" t="s">
        <v>54</v>
      </c>
      <c r="N250" s="1" t="s">
        <v>25</v>
      </c>
      <c r="O250" s="1" t="s">
        <v>100</v>
      </c>
      <c r="P250" s="1" t="s">
        <v>27</v>
      </c>
      <c r="Q250" s="1" t="s">
        <v>1427</v>
      </c>
      <c r="R250" s="1" t="b">
        <f>COUNTIF(  Papers!G:G, RAW_DATA!Q250 ) = 0</f>
        <v>0</v>
      </c>
      <c r="S250" s="1" t="b">
        <f t="shared" si="0"/>
        <v>0</v>
      </c>
    </row>
    <row r="251" spans="1:19" ht="15.75" customHeight="1">
      <c r="A251" s="1" t="s">
        <v>1428</v>
      </c>
      <c r="B251" s="1" t="s">
        <v>1429</v>
      </c>
      <c r="C251" s="1">
        <v>2019</v>
      </c>
      <c r="D251" s="1" t="s">
        <v>1430</v>
      </c>
      <c r="H251" s="1">
        <v>7</v>
      </c>
      <c r="I251" s="1">
        <v>9</v>
      </c>
      <c r="J251" s="1">
        <v>138</v>
      </c>
      <c r="K251" s="1" t="s">
        <v>1431</v>
      </c>
      <c r="L251" s="1" t="s">
        <v>1432</v>
      </c>
      <c r="M251" s="1" t="s">
        <v>169</v>
      </c>
      <c r="N251" s="1" t="s">
        <v>25</v>
      </c>
      <c r="P251" s="1" t="s">
        <v>27</v>
      </c>
      <c r="Q251" s="1" t="s">
        <v>1433</v>
      </c>
      <c r="R251" s="1" t="b">
        <f>COUNTIF(  Papers!G:G, RAW_DATA!Q251 ) = 0</f>
        <v>0</v>
      </c>
      <c r="S251" s="1" t="b">
        <f t="shared" si="0"/>
        <v>0</v>
      </c>
    </row>
    <row r="252" spans="1:19" ht="15.75" customHeight="1">
      <c r="A252" s="1" t="s">
        <v>1434</v>
      </c>
      <c r="B252" s="1" t="s">
        <v>1435</v>
      </c>
      <c r="C252" s="1">
        <v>2018</v>
      </c>
      <c r="D252" s="1" t="s">
        <v>1436</v>
      </c>
      <c r="E252" s="1">
        <v>21</v>
      </c>
      <c r="F252" s="1">
        <v>3</v>
      </c>
      <c r="H252" s="1">
        <v>224</v>
      </c>
      <c r="I252" s="1">
        <v>242</v>
      </c>
      <c r="J252" s="1">
        <v>181</v>
      </c>
      <c r="K252" s="1" t="s">
        <v>1437</v>
      </c>
      <c r="L252" s="1" t="s">
        <v>1438</v>
      </c>
      <c r="M252" s="1" t="s">
        <v>54</v>
      </c>
      <c r="N252" s="1" t="s">
        <v>25</v>
      </c>
      <c r="P252" s="1" t="s">
        <v>27</v>
      </c>
      <c r="Q252" s="1" t="s">
        <v>1439</v>
      </c>
      <c r="R252" s="1" t="b">
        <f>COUNTIF(  Papers!G:G, RAW_DATA!Q252 ) = 0</f>
        <v>0</v>
      </c>
      <c r="S252" s="1" t="b">
        <f t="shared" si="0"/>
        <v>0</v>
      </c>
    </row>
    <row r="253" spans="1:19" ht="15.75" customHeight="1">
      <c r="A253" s="1" t="s">
        <v>1440</v>
      </c>
      <c r="B253" s="1" t="s">
        <v>1441</v>
      </c>
      <c r="C253" s="1">
        <v>2019</v>
      </c>
      <c r="D253" s="1" t="s">
        <v>1442</v>
      </c>
      <c r="E253" s="1">
        <v>104</v>
      </c>
      <c r="H253" s="1">
        <v>231</v>
      </c>
      <c r="I253" s="1">
        <v>239</v>
      </c>
      <c r="J253" s="1">
        <v>135</v>
      </c>
      <c r="K253" s="1" t="s">
        <v>1443</v>
      </c>
      <c r="L253" s="1" t="s">
        <v>1444</v>
      </c>
      <c r="M253" s="1" t="s">
        <v>24</v>
      </c>
      <c r="N253" s="1" t="s">
        <v>25</v>
      </c>
      <c r="O253" s="1" t="s">
        <v>55</v>
      </c>
      <c r="P253" s="1" t="s">
        <v>27</v>
      </c>
      <c r="Q253" s="1" t="s">
        <v>1445</v>
      </c>
      <c r="R253" s="1" t="b">
        <f>COUNTIF(  Papers!G:G, RAW_DATA!Q253 ) = 0</f>
        <v>0</v>
      </c>
      <c r="S253" s="1" t="b">
        <f t="shared" si="0"/>
        <v>0</v>
      </c>
    </row>
    <row r="254" spans="1:19" ht="15.75" customHeight="1">
      <c r="A254" s="1" t="s">
        <v>1446</v>
      </c>
      <c r="B254" s="1" t="s">
        <v>1447</v>
      </c>
      <c r="C254" s="1">
        <v>2020</v>
      </c>
      <c r="D254" s="1" t="s">
        <v>1448</v>
      </c>
      <c r="E254" s="1">
        <v>38</v>
      </c>
      <c r="G254" s="1">
        <v>100312</v>
      </c>
      <c r="J254" s="1">
        <v>190</v>
      </c>
      <c r="K254" s="1" t="s">
        <v>1449</v>
      </c>
      <c r="L254" s="1" t="s">
        <v>1450</v>
      </c>
      <c r="M254" s="1" t="s">
        <v>24</v>
      </c>
      <c r="N254" s="1" t="s">
        <v>25</v>
      </c>
      <c r="O254" s="1" t="s">
        <v>113</v>
      </c>
      <c r="P254" s="1" t="s">
        <v>27</v>
      </c>
      <c r="Q254" s="1" t="s">
        <v>1451</v>
      </c>
      <c r="R254" s="1" t="b">
        <f>COUNTIF(  Papers!G:G, RAW_DATA!Q254 ) = 0</f>
        <v>0</v>
      </c>
      <c r="S254" s="1" t="b">
        <f t="shared" si="0"/>
        <v>0</v>
      </c>
    </row>
    <row r="255" spans="1:19" ht="15.75" customHeight="1">
      <c r="A255" s="1" t="s">
        <v>1452</v>
      </c>
      <c r="B255" s="1" t="s">
        <v>1453</v>
      </c>
      <c r="C255" s="1">
        <v>2020</v>
      </c>
      <c r="D255" s="1" t="s">
        <v>443</v>
      </c>
      <c r="H255" s="1">
        <v>189</v>
      </c>
      <c r="I255" s="1">
        <v>201</v>
      </c>
      <c r="J255" s="1">
        <v>177</v>
      </c>
      <c r="K255" s="1" t="s">
        <v>1454</v>
      </c>
      <c r="L255" s="1" t="s">
        <v>1455</v>
      </c>
      <c r="M255" s="1" t="s">
        <v>169</v>
      </c>
      <c r="N255" s="1" t="s">
        <v>25</v>
      </c>
      <c r="P255" s="1" t="s">
        <v>27</v>
      </c>
      <c r="Q255" s="1" t="s">
        <v>1456</v>
      </c>
      <c r="R255" s="1" t="b">
        <f>COUNTIF(  Papers!G:G, RAW_DATA!Q255 ) = 0</f>
        <v>0</v>
      </c>
      <c r="S255" s="1" t="b">
        <f t="shared" si="0"/>
        <v>0</v>
      </c>
    </row>
    <row r="256" spans="1:19" ht="15.75" customHeight="1">
      <c r="A256" s="1" t="s">
        <v>1457</v>
      </c>
      <c r="B256" s="1" t="s">
        <v>1458</v>
      </c>
      <c r="C256" s="1">
        <v>2019</v>
      </c>
      <c r="D256" s="1" t="s">
        <v>247</v>
      </c>
      <c r="J256" s="1">
        <v>139</v>
      </c>
      <c r="K256" s="1" t="s">
        <v>1459</v>
      </c>
      <c r="L256" s="1" t="s">
        <v>1460</v>
      </c>
      <c r="M256" s="1" t="s">
        <v>169</v>
      </c>
      <c r="N256" s="1" t="s">
        <v>25</v>
      </c>
      <c r="P256" s="1" t="s">
        <v>27</v>
      </c>
      <c r="Q256" s="1" t="s">
        <v>1461</v>
      </c>
      <c r="R256" s="1" t="b">
        <f>COUNTIF(  Papers!G:G, RAW_DATA!Q256 ) = 0</f>
        <v>0</v>
      </c>
      <c r="S256" s="1" t="b">
        <f t="shared" si="0"/>
        <v>0</v>
      </c>
    </row>
    <row r="257" spans="1:19" ht="15.75" customHeight="1">
      <c r="A257" s="1" t="s">
        <v>1462</v>
      </c>
      <c r="B257" s="1" t="s">
        <v>1463</v>
      </c>
      <c r="C257" s="1">
        <v>2022</v>
      </c>
      <c r="D257" s="1" t="s">
        <v>189</v>
      </c>
      <c r="E257" s="1">
        <v>127</v>
      </c>
      <c r="G257" s="1">
        <v>107018</v>
      </c>
      <c r="J257" s="1">
        <v>204</v>
      </c>
      <c r="K257" s="1" t="s">
        <v>1464</v>
      </c>
      <c r="L257" s="1" t="s">
        <v>1465</v>
      </c>
      <c r="M257" s="1" t="s">
        <v>54</v>
      </c>
      <c r="N257" s="1" t="s">
        <v>25</v>
      </c>
      <c r="O257" s="1" t="s">
        <v>55</v>
      </c>
      <c r="P257" s="1" t="s">
        <v>27</v>
      </c>
      <c r="Q257" s="1" t="s">
        <v>1466</v>
      </c>
      <c r="R257" s="1" t="b">
        <f>COUNTIF(  Papers!G:G, RAW_DATA!Q257 ) = 0</f>
        <v>0</v>
      </c>
      <c r="S257" s="1" t="b">
        <f t="shared" ref="S257:S511" si="1">(COUNTIF(B:B, B257) &gt; 1 )</f>
        <v>0</v>
      </c>
    </row>
    <row r="258" spans="1:19" ht="15.75" customHeight="1">
      <c r="A258" s="1" t="s">
        <v>1467</v>
      </c>
      <c r="B258" s="1" t="s">
        <v>1468</v>
      </c>
      <c r="C258" s="1">
        <v>2022</v>
      </c>
      <c r="D258" s="1" t="s">
        <v>1469</v>
      </c>
      <c r="E258" s="1">
        <v>61</v>
      </c>
      <c r="F258" s="1">
        <v>3</v>
      </c>
      <c r="H258" s="1">
        <v>620</v>
      </c>
      <c r="I258" s="1">
        <v>636</v>
      </c>
      <c r="J258" s="1">
        <v>206</v>
      </c>
      <c r="K258" s="1" t="s">
        <v>1470</v>
      </c>
      <c r="L258" s="1" t="s">
        <v>1471</v>
      </c>
      <c r="M258" s="1" t="s">
        <v>54</v>
      </c>
      <c r="N258" s="1" t="s">
        <v>25</v>
      </c>
      <c r="O258" s="1" t="s">
        <v>55</v>
      </c>
      <c r="P258" s="1" t="s">
        <v>27</v>
      </c>
      <c r="Q258" s="1" t="s">
        <v>1472</v>
      </c>
      <c r="R258" s="1" t="b">
        <f>COUNTIF(  Papers!G:G, RAW_DATA!Q258 ) = 0</f>
        <v>0</v>
      </c>
      <c r="S258" s="1" t="b">
        <f t="shared" si="1"/>
        <v>0</v>
      </c>
    </row>
    <row r="259" spans="1:19" ht="15.75" customHeight="1">
      <c r="A259" s="1" t="s">
        <v>1473</v>
      </c>
      <c r="B259" s="1" t="s">
        <v>1474</v>
      </c>
      <c r="C259" s="1">
        <v>2021</v>
      </c>
      <c r="D259" s="1" t="s">
        <v>455</v>
      </c>
      <c r="E259" s="1">
        <v>38</v>
      </c>
      <c r="F259" s="1">
        <v>4</v>
      </c>
      <c r="H259" s="1">
        <v>643</v>
      </c>
      <c r="I259" s="1">
        <v>668</v>
      </c>
      <c r="J259" s="1">
        <v>208</v>
      </c>
      <c r="K259" s="1" t="s">
        <v>1475</v>
      </c>
      <c r="L259" s="1" t="s">
        <v>1476</v>
      </c>
      <c r="M259" s="1" t="s">
        <v>54</v>
      </c>
      <c r="N259" s="1" t="s">
        <v>25</v>
      </c>
      <c r="O259" s="1" t="s">
        <v>100</v>
      </c>
      <c r="P259" s="1" t="s">
        <v>27</v>
      </c>
      <c r="Q259" s="1" t="s">
        <v>1477</v>
      </c>
      <c r="R259" s="1" t="b">
        <f>COUNTIF(  Papers!G:G, RAW_DATA!Q259 ) = 0</f>
        <v>0</v>
      </c>
      <c r="S259" s="1" t="b">
        <f t="shared" si="1"/>
        <v>0</v>
      </c>
    </row>
    <row r="260" spans="1:19" ht="15.75" customHeight="1">
      <c r="A260" s="1" t="s">
        <v>1478</v>
      </c>
      <c r="B260" s="1" t="s">
        <v>1479</v>
      </c>
      <c r="C260" s="1">
        <v>2019</v>
      </c>
      <c r="D260" s="1" t="s">
        <v>1480</v>
      </c>
      <c r="E260" s="1">
        <v>68</v>
      </c>
      <c r="F260" s="1">
        <v>10</v>
      </c>
      <c r="G260" s="1">
        <v>8789466</v>
      </c>
      <c r="H260" s="1">
        <v>9438</v>
      </c>
      <c r="I260" s="1">
        <v>9450</v>
      </c>
      <c r="J260" s="1">
        <v>155</v>
      </c>
      <c r="K260" s="1" t="s">
        <v>1481</v>
      </c>
      <c r="L260" s="1" t="s">
        <v>1482</v>
      </c>
      <c r="M260" s="1" t="s">
        <v>54</v>
      </c>
      <c r="N260" s="1" t="s">
        <v>25</v>
      </c>
      <c r="O260" s="1" t="s">
        <v>113</v>
      </c>
      <c r="P260" s="1" t="s">
        <v>27</v>
      </c>
      <c r="Q260" s="1" t="s">
        <v>1483</v>
      </c>
      <c r="R260" s="1" t="b">
        <f>COUNTIF(  Papers!G:G, RAW_DATA!Q260 ) = 0</f>
        <v>0</v>
      </c>
      <c r="S260" s="1" t="b">
        <f t="shared" si="1"/>
        <v>0</v>
      </c>
    </row>
    <row r="261" spans="1:19" ht="15.75" customHeight="1">
      <c r="A261" s="1" t="s">
        <v>1484</v>
      </c>
      <c r="B261" s="1" t="s">
        <v>1485</v>
      </c>
      <c r="C261" s="1">
        <v>2021</v>
      </c>
      <c r="D261" s="1" t="s">
        <v>368</v>
      </c>
      <c r="E261" s="1">
        <v>13</v>
      </c>
      <c r="F261" s="1">
        <v>15</v>
      </c>
      <c r="G261" s="1">
        <v>8503</v>
      </c>
      <c r="J261" s="1">
        <v>146</v>
      </c>
      <c r="K261" s="1" t="s">
        <v>1486</v>
      </c>
      <c r="L261" s="1" t="s">
        <v>1487</v>
      </c>
      <c r="M261" s="1" t="s">
        <v>54</v>
      </c>
      <c r="N261" s="1" t="s">
        <v>25</v>
      </c>
      <c r="O261" s="1" t="s">
        <v>26</v>
      </c>
      <c r="P261" s="1" t="s">
        <v>27</v>
      </c>
      <c r="Q261" s="1" t="s">
        <v>1488</v>
      </c>
      <c r="R261" s="1" t="b">
        <f>COUNTIF(  Papers!G:G, RAW_DATA!Q261 ) = 0</f>
        <v>0</v>
      </c>
      <c r="S261" s="1" t="b">
        <f t="shared" si="1"/>
        <v>0</v>
      </c>
    </row>
    <row r="262" spans="1:19" ht="15.75" customHeight="1">
      <c r="A262" s="1" t="s">
        <v>1489</v>
      </c>
      <c r="B262" s="1" t="s">
        <v>1490</v>
      </c>
      <c r="C262" s="1">
        <v>2017</v>
      </c>
      <c r="D262" s="1" t="s">
        <v>1491</v>
      </c>
      <c r="E262" s="1">
        <v>0</v>
      </c>
      <c r="H262" s="1">
        <v>1035</v>
      </c>
      <c r="I262" s="1">
        <v>1048</v>
      </c>
      <c r="J262" s="1">
        <v>173</v>
      </c>
      <c r="K262" s="1" t="s">
        <v>1492</v>
      </c>
      <c r="L262" s="1" t="s">
        <v>1493</v>
      </c>
      <c r="M262" s="1" t="s">
        <v>169</v>
      </c>
      <c r="N262" s="1" t="s">
        <v>25</v>
      </c>
      <c r="P262" s="1" t="s">
        <v>27</v>
      </c>
      <c r="Q262" s="1" t="s">
        <v>1494</v>
      </c>
      <c r="R262" s="1" t="b">
        <f>COUNTIF(  Papers!G:G, RAW_DATA!Q262 ) = 0</f>
        <v>0</v>
      </c>
      <c r="S262" s="1" t="b">
        <f t="shared" si="1"/>
        <v>0</v>
      </c>
    </row>
    <row r="263" spans="1:19" ht="15.75" customHeight="1">
      <c r="A263" s="1" t="s">
        <v>1495</v>
      </c>
      <c r="B263" s="1" t="s">
        <v>1496</v>
      </c>
      <c r="C263" s="1">
        <v>2021</v>
      </c>
      <c r="D263" s="1" t="s">
        <v>1039</v>
      </c>
      <c r="E263" s="1">
        <v>83</v>
      </c>
      <c r="G263" s="1">
        <v>104242</v>
      </c>
      <c r="J263" s="1">
        <v>164</v>
      </c>
      <c r="K263" s="1" t="s">
        <v>1497</v>
      </c>
      <c r="L263" s="1" t="s">
        <v>1498</v>
      </c>
      <c r="M263" s="1" t="s">
        <v>54</v>
      </c>
      <c r="N263" s="1" t="s">
        <v>25</v>
      </c>
      <c r="P263" s="1" t="s">
        <v>27</v>
      </c>
      <c r="Q263" s="1" t="s">
        <v>1499</v>
      </c>
      <c r="R263" s="1" t="b">
        <f>COUNTIF(  Papers!G:G, RAW_DATA!Q263 ) = 0</f>
        <v>0</v>
      </c>
      <c r="S263" s="1" t="b">
        <f t="shared" si="1"/>
        <v>0</v>
      </c>
    </row>
    <row r="264" spans="1:19" ht="15.75" customHeight="1">
      <c r="A264" s="1" t="s">
        <v>1500</v>
      </c>
      <c r="B264" s="1" t="s">
        <v>1501</v>
      </c>
      <c r="C264" s="1">
        <v>2021</v>
      </c>
      <c r="D264" s="1" t="s">
        <v>455</v>
      </c>
      <c r="E264" s="1">
        <v>38</v>
      </c>
      <c r="F264" s="1">
        <v>7</v>
      </c>
      <c r="H264" s="1">
        <v>1052</v>
      </c>
      <c r="I264" s="1">
        <v>1068</v>
      </c>
      <c r="J264" s="1">
        <v>211</v>
      </c>
      <c r="K264" s="1" t="s">
        <v>1502</v>
      </c>
      <c r="L264" s="1" t="s">
        <v>1503</v>
      </c>
      <c r="M264" s="1" t="s">
        <v>54</v>
      </c>
      <c r="N264" s="1" t="s">
        <v>25</v>
      </c>
      <c r="P264" s="1" t="s">
        <v>27</v>
      </c>
      <c r="Q264" s="1" t="s">
        <v>1504</v>
      </c>
      <c r="R264" s="1" t="b">
        <f>COUNTIF(  Papers!G:G, RAW_DATA!Q264 ) = 0</f>
        <v>0</v>
      </c>
      <c r="S264" s="1" t="b">
        <f t="shared" si="1"/>
        <v>0</v>
      </c>
    </row>
    <row r="265" spans="1:19" ht="15.75" customHeight="1">
      <c r="A265" s="1" t="s">
        <v>1505</v>
      </c>
      <c r="B265" s="1" t="s">
        <v>1506</v>
      </c>
      <c r="C265" s="1">
        <v>2018</v>
      </c>
      <c r="D265" s="1" t="s">
        <v>1507</v>
      </c>
      <c r="E265" s="1">
        <v>10</v>
      </c>
      <c r="F265" s="1">
        <v>4</v>
      </c>
      <c r="G265" s="1">
        <v>8341761</v>
      </c>
      <c r="H265" s="1">
        <v>852</v>
      </c>
      <c r="I265" s="1">
        <v>864</v>
      </c>
      <c r="J265" s="1">
        <v>134</v>
      </c>
      <c r="K265" s="1" t="s">
        <v>1508</v>
      </c>
      <c r="L265" s="1" t="s">
        <v>1509</v>
      </c>
      <c r="M265" s="1" t="s">
        <v>54</v>
      </c>
      <c r="N265" s="1" t="s">
        <v>25</v>
      </c>
      <c r="O265" s="1" t="s">
        <v>100</v>
      </c>
      <c r="P265" s="1" t="s">
        <v>27</v>
      </c>
      <c r="Q265" s="1" t="s">
        <v>1510</v>
      </c>
      <c r="R265" s="1" t="b">
        <f>COUNTIF(  Papers!G:G, RAW_DATA!Q265 ) = 0</f>
        <v>0</v>
      </c>
      <c r="S265" s="1" t="b">
        <f t="shared" si="1"/>
        <v>0</v>
      </c>
    </row>
    <row r="266" spans="1:19" ht="15.75" customHeight="1">
      <c r="A266" s="1" t="s">
        <v>1511</v>
      </c>
      <c r="B266" s="1" t="s">
        <v>1512</v>
      </c>
      <c r="C266" s="1">
        <v>2017</v>
      </c>
      <c r="D266" s="1" t="s">
        <v>799</v>
      </c>
      <c r="E266" s="1">
        <v>106</v>
      </c>
      <c r="H266" s="1">
        <v>468</v>
      </c>
      <c r="I266" s="1">
        <v>479</v>
      </c>
      <c r="J266" s="1">
        <v>147</v>
      </c>
      <c r="K266" s="1" t="s">
        <v>1513</v>
      </c>
      <c r="L266" s="1" t="s">
        <v>1514</v>
      </c>
      <c r="M266" s="1" t="s">
        <v>54</v>
      </c>
      <c r="N266" s="1" t="s">
        <v>25</v>
      </c>
      <c r="P266" s="1" t="s">
        <v>27</v>
      </c>
      <c r="Q266" s="1" t="s">
        <v>1515</v>
      </c>
      <c r="R266" s="1" t="b">
        <f>COUNTIF(  Papers!G:G, RAW_DATA!Q266 ) = 0</f>
        <v>0</v>
      </c>
      <c r="S266" s="1" t="b">
        <f t="shared" si="1"/>
        <v>0</v>
      </c>
    </row>
    <row r="267" spans="1:19" ht="15.75" customHeight="1">
      <c r="A267" s="1" t="s">
        <v>1516</v>
      </c>
      <c r="B267" s="1" t="s">
        <v>1517</v>
      </c>
      <c r="C267" s="1">
        <v>2022</v>
      </c>
      <c r="D267" s="1" t="s">
        <v>212</v>
      </c>
      <c r="E267" s="1">
        <v>38</v>
      </c>
      <c r="F267" s="1" t="s">
        <v>1518</v>
      </c>
      <c r="H267" s="1">
        <v>1828</v>
      </c>
      <c r="I267" s="1">
        <v>1845</v>
      </c>
      <c r="J267" s="1">
        <v>143</v>
      </c>
      <c r="K267" s="1" t="s">
        <v>1519</v>
      </c>
      <c r="L267" s="1" t="s">
        <v>1520</v>
      </c>
      <c r="M267" s="1" t="s">
        <v>54</v>
      </c>
      <c r="N267" s="1" t="s">
        <v>25</v>
      </c>
      <c r="P267" s="1" t="s">
        <v>27</v>
      </c>
      <c r="Q267" s="1" t="s">
        <v>1521</v>
      </c>
      <c r="R267" s="1" t="b">
        <f>COUNTIF(  Papers!G:G, RAW_DATA!Q267 ) = 0</f>
        <v>0</v>
      </c>
      <c r="S267" s="1" t="b">
        <f t="shared" si="1"/>
        <v>0</v>
      </c>
    </row>
    <row r="268" spans="1:19" ht="15.75" customHeight="1">
      <c r="A268" s="1" t="s">
        <v>1522</v>
      </c>
      <c r="B268" s="1" t="s">
        <v>1523</v>
      </c>
      <c r="C268" s="1">
        <v>2021</v>
      </c>
      <c r="D268" s="1" t="s">
        <v>1524</v>
      </c>
      <c r="E268" s="1">
        <v>7</v>
      </c>
      <c r="F268" s="1">
        <v>1</v>
      </c>
      <c r="G268" s="1">
        <v>71</v>
      </c>
      <c r="H268" s="1">
        <v>1</v>
      </c>
      <c r="I268" s="1">
        <v>16</v>
      </c>
      <c r="J268" s="1">
        <v>191</v>
      </c>
      <c r="K268" s="1" t="s">
        <v>1525</v>
      </c>
      <c r="L268" s="1" t="s">
        <v>1526</v>
      </c>
      <c r="M268" s="1" t="s">
        <v>54</v>
      </c>
      <c r="N268" s="1" t="s">
        <v>25</v>
      </c>
      <c r="O268" s="1" t="s">
        <v>26</v>
      </c>
      <c r="P268" s="1" t="s">
        <v>27</v>
      </c>
      <c r="Q268" s="1" t="s">
        <v>1527</v>
      </c>
      <c r="R268" s="1" t="b">
        <f>COUNTIF(  Papers!G:G, RAW_DATA!Q268 ) = 0</f>
        <v>0</v>
      </c>
      <c r="S268" s="1" t="b">
        <f t="shared" si="1"/>
        <v>0</v>
      </c>
    </row>
    <row r="269" spans="1:19" ht="15.75" customHeight="1">
      <c r="A269" s="1" t="s">
        <v>1528</v>
      </c>
      <c r="B269" s="1" t="s">
        <v>1529</v>
      </c>
      <c r="C269" s="1">
        <v>2016</v>
      </c>
      <c r="D269" s="1" t="s">
        <v>1530</v>
      </c>
      <c r="E269" s="1">
        <v>33</v>
      </c>
      <c r="F269" s="1">
        <v>3</v>
      </c>
      <c r="H269" s="1">
        <v>744</v>
      </c>
      <c r="I269" s="1">
        <v>775</v>
      </c>
      <c r="J269" s="1">
        <v>135</v>
      </c>
      <c r="K269" s="1" t="s">
        <v>1531</v>
      </c>
      <c r="L269" s="1" t="s">
        <v>1532</v>
      </c>
      <c r="M269" s="1" t="s">
        <v>54</v>
      </c>
      <c r="N269" s="1" t="s">
        <v>25</v>
      </c>
      <c r="P269" s="1" t="s">
        <v>27</v>
      </c>
      <c r="Q269" s="1" t="s">
        <v>1533</v>
      </c>
      <c r="R269" s="1" t="b">
        <f>COUNTIF(  Papers!G:G, RAW_DATA!Q269 ) = 0</f>
        <v>0</v>
      </c>
      <c r="S269" s="1" t="b">
        <f t="shared" si="1"/>
        <v>0</v>
      </c>
    </row>
    <row r="270" spans="1:19" ht="15.75" customHeight="1">
      <c r="A270" s="1" t="s">
        <v>1534</v>
      </c>
      <c r="B270" s="1" t="s">
        <v>1535</v>
      </c>
      <c r="C270" s="1">
        <v>2022</v>
      </c>
      <c r="D270" s="1" t="s">
        <v>1536</v>
      </c>
      <c r="E270" s="1">
        <v>32</v>
      </c>
      <c r="F270" s="1">
        <v>4</v>
      </c>
      <c r="H270" s="1">
        <v>729</v>
      </c>
      <c r="I270" s="1">
        <v>742</v>
      </c>
      <c r="J270" s="1">
        <v>181</v>
      </c>
      <c r="K270" s="1" t="s">
        <v>1537</v>
      </c>
      <c r="L270" s="1" t="s">
        <v>1538</v>
      </c>
      <c r="M270" s="1" t="s">
        <v>24</v>
      </c>
      <c r="N270" s="1" t="s">
        <v>25</v>
      </c>
      <c r="O270" s="1" t="s">
        <v>55</v>
      </c>
      <c r="P270" s="1" t="s">
        <v>27</v>
      </c>
      <c r="Q270" s="1" t="s">
        <v>1539</v>
      </c>
      <c r="R270" s="1" t="b">
        <f>COUNTIF(  Papers!G:G, RAW_DATA!Q270 ) = 0</f>
        <v>0</v>
      </c>
      <c r="S270" s="1" t="b">
        <f t="shared" si="1"/>
        <v>0</v>
      </c>
    </row>
    <row r="271" spans="1:19" ht="15.75" customHeight="1">
      <c r="A271" s="1" t="s">
        <v>1540</v>
      </c>
      <c r="B271" s="1" t="s">
        <v>1541</v>
      </c>
      <c r="C271" s="1">
        <v>2016</v>
      </c>
      <c r="D271" s="1" t="s">
        <v>189</v>
      </c>
      <c r="E271" s="1">
        <v>61</v>
      </c>
      <c r="H271" s="1">
        <v>633</v>
      </c>
      <c r="I271" s="1">
        <v>655</v>
      </c>
      <c r="J271" s="1">
        <v>180</v>
      </c>
      <c r="K271" s="1" t="s">
        <v>1542</v>
      </c>
      <c r="L271" s="1" t="s">
        <v>1543</v>
      </c>
      <c r="M271" s="1" t="s">
        <v>54</v>
      </c>
      <c r="N271" s="1" t="s">
        <v>25</v>
      </c>
      <c r="O271" s="1" t="s">
        <v>113</v>
      </c>
      <c r="P271" s="1" t="s">
        <v>27</v>
      </c>
      <c r="Q271" s="1" t="s">
        <v>1544</v>
      </c>
      <c r="R271" s="1" t="b">
        <f>COUNTIF(  Papers!G:G, RAW_DATA!Q271 ) = 0</f>
        <v>0</v>
      </c>
      <c r="S271" s="1" t="b">
        <f t="shared" si="1"/>
        <v>0</v>
      </c>
    </row>
    <row r="272" spans="1:19" ht="15.75" customHeight="1">
      <c r="A272" s="1" t="s">
        <v>1545</v>
      </c>
      <c r="B272" s="1" t="s">
        <v>1546</v>
      </c>
      <c r="C272" s="1">
        <v>2021</v>
      </c>
      <c r="D272" s="1" t="s">
        <v>1547</v>
      </c>
      <c r="E272" s="1">
        <v>34</v>
      </c>
      <c r="F272" s="1">
        <v>4</v>
      </c>
      <c r="H272" s="1">
        <v>1581</v>
      </c>
      <c r="I272" s="1">
        <v>1606</v>
      </c>
      <c r="J272" s="1">
        <v>149</v>
      </c>
      <c r="K272" s="1" t="s">
        <v>1548</v>
      </c>
      <c r="L272" s="1" t="s">
        <v>1549</v>
      </c>
      <c r="M272" s="1" t="s">
        <v>54</v>
      </c>
      <c r="N272" s="1" t="s">
        <v>25</v>
      </c>
      <c r="O272" s="1" t="s">
        <v>100</v>
      </c>
      <c r="P272" s="1" t="s">
        <v>27</v>
      </c>
      <c r="Q272" s="1" t="s">
        <v>1550</v>
      </c>
      <c r="R272" s="1" t="b">
        <f>COUNTIF(  Papers!G:G, RAW_DATA!Q272 ) = 0</f>
        <v>0</v>
      </c>
      <c r="S272" s="1" t="b">
        <f t="shared" si="1"/>
        <v>0</v>
      </c>
    </row>
    <row r="273" spans="1:19" ht="15.75" customHeight="1">
      <c r="A273" s="1" t="s">
        <v>1551</v>
      </c>
      <c r="B273" s="1" t="s">
        <v>1552</v>
      </c>
      <c r="C273" s="1">
        <v>2019</v>
      </c>
      <c r="D273" s="1" t="s">
        <v>1039</v>
      </c>
      <c r="E273" s="1">
        <v>70</v>
      </c>
      <c r="H273" s="1">
        <v>155</v>
      </c>
      <c r="I273" s="1">
        <v>169</v>
      </c>
      <c r="J273" s="1">
        <v>186</v>
      </c>
      <c r="K273" s="1" t="s">
        <v>1553</v>
      </c>
      <c r="L273" s="1" t="s">
        <v>1554</v>
      </c>
      <c r="M273" s="1" t="s">
        <v>54</v>
      </c>
      <c r="N273" s="1" t="s">
        <v>25</v>
      </c>
      <c r="P273" s="1" t="s">
        <v>27</v>
      </c>
      <c r="Q273" s="1" t="s">
        <v>1555</v>
      </c>
      <c r="R273" s="1" t="b">
        <f>COUNTIF(  Papers!G:G, RAW_DATA!Q273 ) = 0</f>
        <v>0</v>
      </c>
      <c r="S273" s="1" t="b">
        <f t="shared" si="1"/>
        <v>0</v>
      </c>
    </row>
    <row r="274" spans="1:19" ht="15.75" customHeight="1">
      <c r="A274" s="1" t="s">
        <v>1556</v>
      </c>
      <c r="B274" s="1" t="s">
        <v>1557</v>
      </c>
      <c r="C274" s="1">
        <v>2017</v>
      </c>
      <c r="D274" s="1" t="s">
        <v>59</v>
      </c>
      <c r="E274" s="1">
        <v>76</v>
      </c>
      <c r="H274" s="1">
        <v>35</v>
      </c>
      <c r="I274" s="1">
        <v>50</v>
      </c>
      <c r="J274" s="1">
        <v>199</v>
      </c>
      <c r="K274" s="1" t="s">
        <v>1558</v>
      </c>
      <c r="L274" s="1" t="s">
        <v>1559</v>
      </c>
      <c r="M274" s="1" t="s">
        <v>54</v>
      </c>
      <c r="N274" s="1" t="s">
        <v>25</v>
      </c>
      <c r="P274" s="1" t="s">
        <v>27</v>
      </c>
      <c r="Q274" s="1" t="s">
        <v>1560</v>
      </c>
      <c r="R274" s="1" t="b">
        <f>COUNTIF(  Papers!G:G, RAW_DATA!Q274 ) = 0</f>
        <v>0</v>
      </c>
      <c r="S274" s="1" t="b">
        <f t="shared" si="1"/>
        <v>0</v>
      </c>
    </row>
    <row r="275" spans="1:19" ht="15.75" customHeight="1">
      <c r="A275" s="1" t="s">
        <v>1561</v>
      </c>
      <c r="B275" s="1" t="s">
        <v>1562</v>
      </c>
      <c r="C275" s="1">
        <v>2021</v>
      </c>
      <c r="D275" s="1" t="s">
        <v>84</v>
      </c>
      <c r="E275" s="1">
        <v>63</v>
      </c>
      <c r="F275" s="1">
        <v>7</v>
      </c>
      <c r="H275" s="1">
        <v>1196</v>
      </c>
      <c r="I275" s="1">
        <v>1229</v>
      </c>
      <c r="J275" s="1">
        <v>214</v>
      </c>
      <c r="K275" s="1" t="s">
        <v>1563</v>
      </c>
      <c r="L275" s="1" t="s">
        <v>1564</v>
      </c>
      <c r="M275" s="1" t="s">
        <v>54</v>
      </c>
      <c r="N275" s="1" t="s">
        <v>25</v>
      </c>
      <c r="P275" s="1" t="s">
        <v>27</v>
      </c>
      <c r="Q275" s="1" t="s">
        <v>1565</v>
      </c>
      <c r="R275" s="1" t="b">
        <f>COUNTIF(  Papers!G:G, RAW_DATA!Q275 ) = 0</f>
        <v>0</v>
      </c>
      <c r="S275" s="1" t="b">
        <f t="shared" si="1"/>
        <v>0</v>
      </c>
    </row>
    <row r="276" spans="1:19" ht="15.75" customHeight="1">
      <c r="A276" s="1" t="s">
        <v>1566</v>
      </c>
      <c r="B276" s="1" t="s">
        <v>1567</v>
      </c>
      <c r="C276" s="1">
        <v>2024</v>
      </c>
      <c r="D276" s="1" t="s">
        <v>1568</v>
      </c>
      <c r="E276" s="1">
        <v>14</v>
      </c>
      <c r="F276" s="1">
        <v>1</v>
      </c>
      <c r="G276" s="1">
        <v>2909</v>
      </c>
      <c r="J276" s="1">
        <v>187</v>
      </c>
      <c r="K276" s="1" t="s">
        <v>1569</v>
      </c>
      <c r="L276" s="1" t="s">
        <v>1570</v>
      </c>
      <c r="M276" s="1" t="s">
        <v>54</v>
      </c>
      <c r="N276" s="1" t="s">
        <v>25</v>
      </c>
      <c r="O276" s="1" t="s">
        <v>26</v>
      </c>
      <c r="P276" s="1" t="s">
        <v>27</v>
      </c>
      <c r="Q276" s="1" t="s">
        <v>1571</v>
      </c>
      <c r="R276" s="1" t="b">
        <f>COUNTIF(  Papers!G:G, RAW_DATA!Q276 ) = 0</f>
        <v>0</v>
      </c>
      <c r="S276" s="1" t="b">
        <f t="shared" si="1"/>
        <v>0</v>
      </c>
    </row>
    <row r="277" spans="1:19" ht="15.75" customHeight="1">
      <c r="A277" s="1" t="s">
        <v>1572</v>
      </c>
      <c r="B277" s="1" t="s">
        <v>1573</v>
      </c>
      <c r="C277" s="1">
        <v>2022</v>
      </c>
      <c r="D277" s="1" t="s">
        <v>397</v>
      </c>
      <c r="H277" s="1">
        <v>1457</v>
      </c>
      <c r="I277" s="1">
        <v>1466</v>
      </c>
      <c r="J277" s="1">
        <v>136</v>
      </c>
      <c r="K277" s="1" t="s">
        <v>1574</v>
      </c>
      <c r="L277" s="1" t="s">
        <v>1575</v>
      </c>
      <c r="M277" s="1" t="s">
        <v>169</v>
      </c>
      <c r="N277" s="1" t="s">
        <v>25</v>
      </c>
      <c r="P277" s="1" t="s">
        <v>27</v>
      </c>
      <c r="Q277" s="1" t="s">
        <v>1576</v>
      </c>
      <c r="R277" s="1" t="b">
        <f>COUNTIF(  Papers!G:G, RAW_DATA!Q277 ) = 0</f>
        <v>0</v>
      </c>
      <c r="S277" s="1" t="b">
        <f t="shared" si="1"/>
        <v>0</v>
      </c>
    </row>
    <row r="278" spans="1:19" ht="15.75" customHeight="1">
      <c r="A278" s="1" t="s">
        <v>1577</v>
      </c>
      <c r="B278" s="1" t="s">
        <v>1578</v>
      </c>
      <c r="C278" s="1">
        <v>2019</v>
      </c>
      <c r="D278" s="1" t="s">
        <v>513</v>
      </c>
      <c r="E278" s="1">
        <v>62</v>
      </c>
      <c r="F278" s="1">
        <v>3</v>
      </c>
      <c r="H278" s="1">
        <v>345</v>
      </c>
      <c r="I278" s="1">
        <v>360</v>
      </c>
      <c r="J278" s="1">
        <v>146</v>
      </c>
      <c r="K278" s="1" t="s">
        <v>1579</v>
      </c>
      <c r="L278" s="1" t="s">
        <v>1580</v>
      </c>
      <c r="M278" s="1" t="s">
        <v>54</v>
      </c>
      <c r="N278" s="1" t="s">
        <v>25</v>
      </c>
      <c r="O278" s="1" t="s">
        <v>113</v>
      </c>
      <c r="P278" s="1" t="s">
        <v>27</v>
      </c>
      <c r="Q278" s="1" t="s">
        <v>1581</v>
      </c>
      <c r="R278" s="1" t="b">
        <f>COUNTIF(  Papers!G:G, RAW_DATA!Q278 ) = 0</f>
        <v>0</v>
      </c>
      <c r="S278" s="1" t="b">
        <f t="shared" si="1"/>
        <v>0</v>
      </c>
    </row>
    <row r="279" spans="1:19" ht="15.75" customHeight="1">
      <c r="A279" s="1" t="s">
        <v>1582</v>
      </c>
      <c r="B279" s="1" t="s">
        <v>1583</v>
      </c>
      <c r="C279" s="1">
        <v>2020</v>
      </c>
      <c r="D279" s="1" t="s">
        <v>1584</v>
      </c>
      <c r="E279" s="1">
        <v>2</v>
      </c>
      <c r="F279" s="1">
        <v>8</v>
      </c>
      <c r="H279" s="1">
        <v>476</v>
      </c>
      <c r="I279" s="1">
        <v>486</v>
      </c>
      <c r="J279" s="1">
        <v>203</v>
      </c>
      <c r="K279" s="1" t="s">
        <v>1585</v>
      </c>
      <c r="L279" s="1" t="s">
        <v>1586</v>
      </c>
      <c r="M279" s="1" t="s">
        <v>54</v>
      </c>
      <c r="N279" s="1" t="s">
        <v>25</v>
      </c>
      <c r="O279" s="1" t="s">
        <v>113</v>
      </c>
      <c r="P279" s="1" t="s">
        <v>27</v>
      </c>
      <c r="Q279" s="1" t="s">
        <v>1587</v>
      </c>
      <c r="R279" s="1" t="b">
        <f>COUNTIF(  Papers!G:G, RAW_DATA!Q279 ) = 0</f>
        <v>0</v>
      </c>
      <c r="S279" s="1" t="b">
        <f t="shared" si="1"/>
        <v>0</v>
      </c>
    </row>
    <row r="280" spans="1:19" ht="15.75" customHeight="1">
      <c r="A280" s="1" t="s">
        <v>1588</v>
      </c>
      <c r="B280" s="1" t="s">
        <v>1589</v>
      </c>
      <c r="C280" s="1">
        <v>2020</v>
      </c>
      <c r="D280" s="1" t="s">
        <v>1590</v>
      </c>
      <c r="E280" s="1">
        <v>1</v>
      </c>
      <c r="F280" s="1">
        <v>4</v>
      </c>
      <c r="G280" s="1">
        <v>100049</v>
      </c>
      <c r="J280" s="1">
        <v>135</v>
      </c>
      <c r="K280" s="1" t="s">
        <v>1591</v>
      </c>
      <c r="L280" s="1" t="s">
        <v>1592</v>
      </c>
      <c r="M280" s="1" t="s">
        <v>24</v>
      </c>
      <c r="N280" s="1" t="s">
        <v>25</v>
      </c>
      <c r="O280" s="1" t="s">
        <v>26</v>
      </c>
      <c r="P280" s="1" t="s">
        <v>27</v>
      </c>
      <c r="Q280" s="1" t="s">
        <v>1593</v>
      </c>
      <c r="R280" s="1" t="b">
        <f>COUNTIF(  Papers!G:G, RAW_DATA!Q280 ) = 0</f>
        <v>0</v>
      </c>
      <c r="S280" s="1" t="b">
        <f t="shared" si="1"/>
        <v>0</v>
      </c>
    </row>
    <row r="281" spans="1:19" ht="15.75" customHeight="1">
      <c r="A281" s="1" t="s">
        <v>1594</v>
      </c>
      <c r="B281" s="1" t="s">
        <v>1595</v>
      </c>
      <c r="C281" s="1">
        <v>2021</v>
      </c>
      <c r="D281" s="1" t="s">
        <v>1596</v>
      </c>
      <c r="H281" s="1">
        <v>401</v>
      </c>
      <c r="I281" s="1">
        <v>413</v>
      </c>
      <c r="J281" s="1">
        <v>214</v>
      </c>
      <c r="K281" s="1" t="s">
        <v>1597</v>
      </c>
      <c r="L281" s="1" t="s">
        <v>1598</v>
      </c>
      <c r="M281" s="1" t="s">
        <v>169</v>
      </c>
      <c r="N281" s="1" t="s">
        <v>25</v>
      </c>
      <c r="O281" s="1" t="s">
        <v>41</v>
      </c>
      <c r="P281" s="1" t="s">
        <v>27</v>
      </c>
      <c r="Q281" s="1" t="s">
        <v>1599</v>
      </c>
      <c r="R281" s="1" t="b">
        <f>COUNTIF(  Papers!G:G, RAW_DATA!Q281 ) = 0</f>
        <v>0</v>
      </c>
      <c r="S281" s="1" t="b">
        <f t="shared" si="1"/>
        <v>0</v>
      </c>
    </row>
    <row r="282" spans="1:19" ht="15.75" customHeight="1">
      <c r="A282" s="1" t="s">
        <v>1400</v>
      </c>
      <c r="B282" s="1" t="s">
        <v>1600</v>
      </c>
      <c r="C282" s="1">
        <v>2020</v>
      </c>
      <c r="D282" s="1" t="s">
        <v>799</v>
      </c>
      <c r="E282" s="1">
        <v>148</v>
      </c>
      <c r="G282" s="1">
        <v>105748</v>
      </c>
      <c r="J282" s="1">
        <v>134</v>
      </c>
      <c r="K282" s="1" t="s">
        <v>1601</v>
      </c>
      <c r="L282" s="1" t="s">
        <v>1602</v>
      </c>
      <c r="M282" s="1" t="s">
        <v>54</v>
      </c>
      <c r="N282" s="1" t="s">
        <v>25</v>
      </c>
      <c r="O282" s="1" t="s">
        <v>113</v>
      </c>
      <c r="P282" s="1" t="s">
        <v>27</v>
      </c>
      <c r="Q282" s="1" t="s">
        <v>1603</v>
      </c>
      <c r="R282" s="1" t="b">
        <f>COUNTIF(  Papers!G:G, RAW_DATA!Q282 ) = 0</f>
        <v>0</v>
      </c>
      <c r="S282" s="1" t="b">
        <f t="shared" si="1"/>
        <v>0</v>
      </c>
    </row>
    <row r="283" spans="1:19" ht="15.75" customHeight="1">
      <c r="A283" s="1" t="s">
        <v>1604</v>
      </c>
      <c r="B283" s="1" t="s">
        <v>1605</v>
      </c>
      <c r="C283" s="1">
        <v>2020</v>
      </c>
      <c r="D283" s="1" t="s">
        <v>59</v>
      </c>
      <c r="E283" s="1">
        <v>115</v>
      </c>
      <c r="G283" s="1">
        <v>102604</v>
      </c>
      <c r="J283" s="1">
        <v>189</v>
      </c>
      <c r="K283" s="1" t="s">
        <v>1606</v>
      </c>
      <c r="L283" s="1" t="s">
        <v>1607</v>
      </c>
      <c r="M283" s="1" t="s">
        <v>54</v>
      </c>
      <c r="N283" s="1" t="s">
        <v>25</v>
      </c>
      <c r="P283" s="1" t="s">
        <v>27</v>
      </c>
      <c r="Q283" s="1" t="s">
        <v>1608</v>
      </c>
      <c r="R283" s="1" t="b">
        <f>COUNTIF(  Papers!G:G, RAW_DATA!Q283 ) = 0</f>
        <v>0</v>
      </c>
      <c r="S283" s="1" t="b">
        <f t="shared" si="1"/>
        <v>0</v>
      </c>
    </row>
    <row r="284" spans="1:19" ht="15.75" customHeight="1">
      <c r="A284" s="1" t="s">
        <v>1609</v>
      </c>
      <c r="B284" s="1" t="s">
        <v>1610</v>
      </c>
      <c r="C284" s="1">
        <v>2017</v>
      </c>
      <c r="D284" s="1" t="s">
        <v>1611</v>
      </c>
      <c r="E284" s="1">
        <v>36</v>
      </c>
      <c r="F284" s="3">
        <v>46149</v>
      </c>
      <c r="H284" s="1">
        <v>597</v>
      </c>
      <c r="I284" s="1">
        <v>617</v>
      </c>
      <c r="J284" s="1">
        <v>136</v>
      </c>
      <c r="K284" s="1" t="s">
        <v>1612</v>
      </c>
      <c r="L284" s="1" t="s">
        <v>1613</v>
      </c>
      <c r="M284" s="1" t="s">
        <v>54</v>
      </c>
      <c r="N284" s="1" t="s">
        <v>25</v>
      </c>
      <c r="O284" s="1" t="s">
        <v>324</v>
      </c>
      <c r="P284" s="1" t="s">
        <v>27</v>
      </c>
      <c r="Q284" s="1" t="s">
        <v>1614</v>
      </c>
      <c r="R284" s="1" t="b">
        <f>COUNTIF(  Papers!G:G, RAW_DATA!Q284 ) = 0</f>
        <v>0</v>
      </c>
      <c r="S284" s="1" t="b">
        <f t="shared" si="1"/>
        <v>0</v>
      </c>
    </row>
    <row r="285" spans="1:19" ht="15.75" customHeight="1">
      <c r="A285" s="1" t="s">
        <v>1615</v>
      </c>
      <c r="B285" s="1" t="s">
        <v>1616</v>
      </c>
      <c r="C285" s="1">
        <v>2018</v>
      </c>
      <c r="D285" s="1" t="s">
        <v>788</v>
      </c>
      <c r="E285" s="1">
        <v>48</v>
      </c>
      <c r="F285" s="1">
        <v>1</v>
      </c>
      <c r="G285" s="1">
        <v>8125704</v>
      </c>
      <c r="H285" s="1">
        <v>95</v>
      </c>
      <c r="I285" s="1">
        <v>101</v>
      </c>
      <c r="J285" s="1">
        <v>141</v>
      </c>
      <c r="K285" s="1" t="s">
        <v>1617</v>
      </c>
      <c r="L285" s="1" t="s">
        <v>1618</v>
      </c>
      <c r="M285" s="1" t="s">
        <v>54</v>
      </c>
      <c r="N285" s="1" t="s">
        <v>25</v>
      </c>
      <c r="P285" s="1" t="s">
        <v>27</v>
      </c>
      <c r="Q285" s="1" t="s">
        <v>1619</v>
      </c>
      <c r="R285" s="1" t="b">
        <f>COUNTIF(  Papers!G:G, RAW_DATA!Q285 ) = 0</f>
        <v>0</v>
      </c>
      <c r="S285" s="1" t="b">
        <f t="shared" si="1"/>
        <v>0</v>
      </c>
    </row>
    <row r="286" spans="1:19" ht="15.75" customHeight="1">
      <c r="A286" s="1" t="s">
        <v>1620</v>
      </c>
      <c r="B286" s="1" t="s">
        <v>1621</v>
      </c>
      <c r="C286" s="1">
        <v>2018</v>
      </c>
      <c r="D286" s="1" t="s">
        <v>1250</v>
      </c>
      <c r="E286" s="1">
        <v>102</v>
      </c>
      <c r="H286" s="1">
        <v>68</v>
      </c>
      <c r="I286" s="1">
        <v>78</v>
      </c>
      <c r="J286" s="1">
        <v>208</v>
      </c>
      <c r="K286" s="1" t="s">
        <v>1622</v>
      </c>
      <c r="L286" s="1" t="s">
        <v>1623</v>
      </c>
      <c r="M286" s="1" t="s">
        <v>24</v>
      </c>
      <c r="N286" s="1" t="s">
        <v>25</v>
      </c>
      <c r="O286" s="1" t="s">
        <v>55</v>
      </c>
      <c r="P286" s="1" t="s">
        <v>27</v>
      </c>
      <c r="Q286" s="1" t="s">
        <v>1624</v>
      </c>
      <c r="R286" s="1" t="b">
        <f>COUNTIF(  Papers!G:G, RAW_DATA!Q286 ) = 0</f>
        <v>0</v>
      </c>
      <c r="S286" s="1" t="b">
        <f t="shared" si="1"/>
        <v>0</v>
      </c>
    </row>
    <row r="287" spans="1:19" ht="15.75" customHeight="1">
      <c r="A287" s="1" t="s">
        <v>1625</v>
      </c>
      <c r="B287" s="1" t="s">
        <v>1626</v>
      </c>
      <c r="C287" s="1">
        <v>2020</v>
      </c>
      <c r="D287" s="1" t="s">
        <v>1198</v>
      </c>
      <c r="E287" s="1">
        <v>9</v>
      </c>
      <c r="F287" s="1">
        <v>11</v>
      </c>
      <c r="G287" s="1">
        <v>1864</v>
      </c>
      <c r="H287" s="1">
        <v>1</v>
      </c>
      <c r="I287" s="1">
        <v>31</v>
      </c>
      <c r="J287" s="1">
        <v>152</v>
      </c>
      <c r="K287" s="1" t="s">
        <v>1627</v>
      </c>
      <c r="L287" s="1" t="s">
        <v>1628</v>
      </c>
      <c r="M287" s="1" t="s">
        <v>54</v>
      </c>
      <c r="N287" s="1" t="s">
        <v>25</v>
      </c>
      <c r="O287" s="1" t="s">
        <v>26</v>
      </c>
      <c r="P287" s="1" t="s">
        <v>27</v>
      </c>
      <c r="Q287" s="1" t="s">
        <v>1629</v>
      </c>
      <c r="R287" s="1" t="b">
        <f>COUNTIF(  Papers!G:G, RAW_DATA!Q287 ) = 0</f>
        <v>0</v>
      </c>
      <c r="S287" s="1" t="b">
        <f t="shared" si="1"/>
        <v>0</v>
      </c>
    </row>
    <row r="288" spans="1:19" ht="15.75" customHeight="1">
      <c r="A288" s="1" t="s">
        <v>1630</v>
      </c>
      <c r="B288" s="1" t="s">
        <v>1631</v>
      </c>
      <c r="C288" s="1">
        <v>2023</v>
      </c>
      <c r="D288" s="1" t="s">
        <v>1632</v>
      </c>
      <c r="E288" s="1">
        <v>12</v>
      </c>
      <c r="F288" s="1">
        <v>9</v>
      </c>
      <c r="G288" s="1">
        <v>502</v>
      </c>
      <c r="J288" s="1">
        <v>136</v>
      </c>
      <c r="K288" s="1" t="s">
        <v>1633</v>
      </c>
      <c r="L288" s="1" t="s">
        <v>1634</v>
      </c>
      <c r="M288" s="1" t="s">
        <v>54</v>
      </c>
      <c r="N288" s="1" t="s">
        <v>25</v>
      </c>
      <c r="O288" s="1" t="s">
        <v>26</v>
      </c>
      <c r="P288" s="1" t="s">
        <v>27</v>
      </c>
      <c r="Q288" s="1" t="s">
        <v>1635</v>
      </c>
      <c r="R288" s="1" t="b">
        <f>COUNTIF(  Papers!G:G, RAW_DATA!Q288 ) = 0</f>
        <v>0</v>
      </c>
      <c r="S288" s="1" t="b">
        <f t="shared" si="1"/>
        <v>0</v>
      </c>
    </row>
    <row r="289" spans="1:19" ht="15.75" customHeight="1">
      <c r="A289" s="1" t="s">
        <v>1636</v>
      </c>
      <c r="B289" s="1" t="s">
        <v>1637</v>
      </c>
      <c r="C289" s="1">
        <v>2022</v>
      </c>
      <c r="D289" s="1" t="s">
        <v>641</v>
      </c>
      <c r="E289" s="1">
        <v>40</v>
      </c>
      <c r="F289" s="1">
        <v>6</v>
      </c>
      <c r="H289" s="1">
        <v>1272</v>
      </c>
      <c r="I289" s="1">
        <v>1298</v>
      </c>
      <c r="J289" s="1">
        <v>169</v>
      </c>
      <c r="K289" s="1" t="s">
        <v>1638</v>
      </c>
      <c r="L289" s="1" t="s">
        <v>1639</v>
      </c>
      <c r="M289" s="1" t="s">
        <v>54</v>
      </c>
      <c r="N289" s="1" t="s">
        <v>25</v>
      </c>
      <c r="P289" s="1" t="s">
        <v>27</v>
      </c>
      <c r="Q289" s="1" t="s">
        <v>1640</v>
      </c>
      <c r="R289" s="1" t="b">
        <f>COUNTIF(  Papers!G:G, RAW_DATA!Q289 ) = 0</f>
        <v>0</v>
      </c>
      <c r="S289" s="1" t="b">
        <f t="shared" si="1"/>
        <v>0</v>
      </c>
    </row>
    <row r="290" spans="1:19" ht="15.75" customHeight="1">
      <c r="A290" s="1" t="s">
        <v>1641</v>
      </c>
      <c r="B290" s="1" t="s">
        <v>1642</v>
      </c>
      <c r="C290" s="1">
        <v>2018</v>
      </c>
      <c r="D290" s="1" t="s">
        <v>173</v>
      </c>
      <c r="E290" s="1">
        <v>8</v>
      </c>
      <c r="F290" s="1">
        <v>4</v>
      </c>
      <c r="G290" s="1">
        <v>30</v>
      </c>
      <c r="J290" s="1">
        <v>149</v>
      </c>
      <c r="K290" s="1" t="s">
        <v>1643</v>
      </c>
      <c r="L290" s="1" t="s">
        <v>1644</v>
      </c>
      <c r="M290" s="1" t="s">
        <v>54</v>
      </c>
      <c r="N290" s="1" t="s">
        <v>25</v>
      </c>
      <c r="P290" s="1" t="s">
        <v>27</v>
      </c>
      <c r="Q290" s="1" t="s">
        <v>1645</v>
      </c>
      <c r="R290" s="1" t="b">
        <f>COUNTIF(  Papers!G:G, RAW_DATA!Q290 ) = 0</f>
        <v>0</v>
      </c>
      <c r="S290" s="1" t="b">
        <f t="shared" si="1"/>
        <v>0</v>
      </c>
    </row>
    <row r="291" spans="1:19" ht="15.75" customHeight="1">
      <c r="A291" s="1" t="s">
        <v>1646</v>
      </c>
      <c r="B291" s="1" t="s">
        <v>1647</v>
      </c>
      <c r="C291" s="1">
        <v>2019</v>
      </c>
      <c r="D291" s="1" t="s">
        <v>1648</v>
      </c>
      <c r="H291" s="1">
        <v>239</v>
      </c>
      <c r="I291" s="1">
        <v>245</v>
      </c>
      <c r="J291" s="1">
        <v>184</v>
      </c>
      <c r="K291" s="1" t="s">
        <v>1649</v>
      </c>
      <c r="L291" s="1" t="s">
        <v>1650</v>
      </c>
      <c r="M291" s="1" t="s">
        <v>169</v>
      </c>
      <c r="N291" s="1" t="s">
        <v>25</v>
      </c>
      <c r="O291" s="1" t="s">
        <v>113</v>
      </c>
      <c r="P291" s="1" t="s">
        <v>27</v>
      </c>
      <c r="Q291" s="1" t="s">
        <v>1651</v>
      </c>
      <c r="R291" s="1" t="b">
        <f>COUNTIF(  Papers!G:G, RAW_DATA!Q291 ) = 0</f>
        <v>0</v>
      </c>
      <c r="S291" s="1" t="b">
        <f t="shared" si="1"/>
        <v>0</v>
      </c>
    </row>
    <row r="292" spans="1:19" ht="15.75" customHeight="1">
      <c r="A292" s="1" t="s">
        <v>1652</v>
      </c>
      <c r="B292" s="1" t="s">
        <v>1653</v>
      </c>
      <c r="C292" s="1">
        <v>2019</v>
      </c>
      <c r="D292" s="1" t="s">
        <v>1654</v>
      </c>
      <c r="E292" s="1">
        <v>74</v>
      </c>
      <c r="H292" s="1">
        <v>255</v>
      </c>
      <c r="I292" s="1">
        <v>276</v>
      </c>
      <c r="J292" s="1">
        <v>150</v>
      </c>
      <c r="K292" s="1" t="s">
        <v>1655</v>
      </c>
      <c r="L292" s="1" t="s">
        <v>1656</v>
      </c>
      <c r="M292" s="1" t="s">
        <v>54</v>
      </c>
      <c r="N292" s="1" t="s">
        <v>25</v>
      </c>
      <c r="O292" s="1" t="s">
        <v>113</v>
      </c>
      <c r="P292" s="1" t="s">
        <v>27</v>
      </c>
      <c r="Q292" s="1" t="s">
        <v>1657</v>
      </c>
      <c r="R292" s="1" t="b">
        <f>COUNTIF(  Papers!G:G, RAW_DATA!Q292 ) = 0</f>
        <v>0</v>
      </c>
      <c r="S292" s="1" t="b">
        <f t="shared" si="1"/>
        <v>0</v>
      </c>
    </row>
    <row r="293" spans="1:19" ht="15.75" customHeight="1">
      <c r="A293" s="1" t="s">
        <v>1658</v>
      </c>
      <c r="B293" s="1" t="s">
        <v>1659</v>
      </c>
      <c r="C293" s="1">
        <v>2021</v>
      </c>
      <c r="D293" s="1" t="s">
        <v>130</v>
      </c>
      <c r="E293" s="1">
        <v>129</v>
      </c>
      <c r="H293" s="1">
        <v>891</v>
      </c>
      <c r="I293" s="1">
        <v>901</v>
      </c>
      <c r="J293" s="1">
        <v>192</v>
      </c>
      <c r="K293" s="1" t="s">
        <v>1660</v>
      </c>
      <c r="L293" s="1" t="s">
        <v>1661</v>
      </c>
      <c r="M293" s="1" t="s">
        <v>54</v>
      </c>
      <c r="N293" s="1" t="s">
        <v>25</v>
      </c>
      <c r="P293" s="1" t="s">
        <v>27</v>
      </c>
      <c r="Q293" s="1" t="s">
        <v>1662</v>
      </c>
      <c r="R293" s="1" t="b">
        <f>COUNTIF(  Papers!G:G, RAW_DATA!Q293 ) = 0</f>
        <v>0</v>
      </c>
      <c r="S293" s="1" t="b">
        <f t="shared" si="1"/>
        <v>0</v>
      </c>
    </row>
    <row r="294" spans="1:19" ht="15.75" customHeight="1">
      <c r="A294" s="1" t="s">
        <v>1663</v>
      </c>
      <c r="B294" s="1" t="s">
        <v>1664</v>
      </c>
      <c r="C294" s="1">
        <v>2020</v>
      </c>
      <c r="D294" s="1" t="s">
        <v>1665</v>
      </c>
      <c r="E294" s="1">
        <v>11</v>
      </c>
      <c r="F294" s="1">
        <v>1</v>
      </c>
      <c r="G294" s="1">
        <v>4850</v>
      </c>
      <c r="J294" s="1">
        <v>176</v>
      </c>
      <c r="K294" s="1" t="s">
        <v>1666</v>
      </c>
      <c r="L294" s="1" t="s">
        <v>1667</v>
      </c>
      <c r="M294" s="1" t="s">
        <v>54</v>
      </c>
      <c r="N294" s="1" t="s">
        <v>25</v>
      </c>
      <c r="O294" s="1" t="s">
        <v>26</v>
      </c>
      <c r="P294" s="1" t="s">
        <v>27</v>
      </c>
      <c r="Q294" s="1" t="s">
        <v>1668</v>
      </c>
      <c r="R294" s="1" t="b">
        <f>COUNTIF(  Papers!G:G, RAW_DATA!Q294 ) = 0</f>
        <v>0</v>
      </c>
      <c r="S294" s="1" t="b">
        <f t="shared" si="1"/>
        <v>0</v>
      </c>
    </row>
    <row r="295" spans="1:19" ht="15.75" customHeight="1">
      <c r="A295" s="1" t="s">
        <v>1669</v>
      </c>
      <c r="B295" s="1" t="s">
        <v>1670</v>
      </c>
      <c r="C295" s="1">
        <v>2022</v>
      </c>
      <c r="D295" s="1" t="s">
        <v>1671</v>
      </c>
      <c r="H295" s="1">
        <v>78</v>
      </c>
      <c r="I295" s="1">
        <v>91</v>
      </c>
      <c r="J295" s="1">
        <v>136</v>
      </c>
      <c r="K295" s="1" t="s">
        <v>1672</v>
      </c>
      <c r="L295" s="1" t="s">
        <v>1673</v>
      </c>
      <c r="M295" s="1" t="s">
        <v>169</v>
      </c>
      <c r="N295" s="1" t="s">
        <v>25</v>
      </c>
      <c r="P295" s="1" t="s">
        <v>27</v>
      </c>
      <c r="Q295" s="1" t="s">
        <v>1674</v>
      </c>
      <c r="R295" s="1" t="b">
        <f>COUNTIF(  Papers!G:G, RAW_DATA!Q295 ) = 0</f>
        <v>0</v>
      </c>
      <c r="S295" s="1" t="b">
        <f t="shared" si="1"/>
        <v>0</v>
      </c>
    </row>
    <row r="296" spans="1:19" ht="15.75" customHeight="1">
      <c r="A296" s="1" t="s">
        <v>1675</v>
      </c>
      <c r="B296" s="1" t="s">
        <v>1676</v>
      </c>
      <c r="C296" s="1">
        <v>2020</v>
      </c>
      <c r="D296" s="1" t="s">
        <v>844</v>
      </c>
      <c r="E296" s="1">
        <v>63</v>
      </c>
      <c r="G296" s="1">
        <v>101361</v>
      </c>
      <c r="J296" s="1">
        <v>159</v>
      </c>
      <c r="K296" s="1" t="s">
        <v>1677</v>
      </c>
      <c r="L296" s="1" t="s">
        <v>1678</v>
      </c>
      <c r="M296" s="1" t="s">
        <v>54</v>
      </c>
      <c r="N296" s="1" t="s">
        <v>25</v>
      </c>
      <c r="P296" s="1" t="s">
        <v>27</v>
      </c>
      <c r="Q296" s="1" t="s">
        <v>1679</v>
      </c>
      <c r="R296" s="1" t="b">
        <f>COUNTIF(  Papers!G:G, RAW_DATA!Q296 ) = 0</f>
        <v>0</v>
      </c>
      <c r="S296" s="1" t="b">
        <f t="shared" si="1"/>
        <v>0</v>
      </c>
    </row>
    <row r="297" spans="1:19" ht="15.75" customHeight="1">
      <c r="A297" s="1" t="s">
        <v>1680</v>
      </c>
      <c r="B297" s="1" t="s">
        <v>1681</v>
      </c>
      <c r="C297" s="1">
        <v>2023</v>
      </c>
      <c r="D297" s="1" t="s">
        <v>1682</v>
      </c>
      <c r="E297" s="1">
        <v>62</v>
      </c>
      <c r="F297" s="1">
        <v>1</v>
      </c>
      <c r="H297" s="1">
        <v>117</v>
      </c>
      <c r="I297" s="1">
        <v>135</v>
      </c>
      <c r="J297" s="1">
        <v>152</v>
      </c>
      <c r="K297" s="1" t="s">
        <v>1683</v>
      </c>
      <c r="L297" s="1" t="s">
        <v>1684</v>
      </c>
      <c r="M297" s="1" t="s">
        <v>54</v>
      </c>
      <c r="N297" s="1" t="s">
        <v>25</v>
      </c>
      <c r="O297" s="1" t="s">
        <v>55</v>
      </c>
      <c r="P297" s="1" t="s">
        <v>27</v>
      </c>
      <c r="Q297" s="1" t="s">
        <v>1685</v>
      </c>
      <c r="R297" s="1" t="b">
        <f>COUNTIF(  Papers!G:G, RAW_DATA!Q297 ) = 0</f>
        <v>0</v>
      </c>
      <c r="S297" s="1" t="b">
        <f t="shared" si="1"/>
        <v>0</v>
      </c>
    </row>
    <row r="298" spans="1:19" ht="15.75" customHeight="1">
      <c r="A298" s="1" t="s">
        <v>1686</v>
      </c>
      <c r="B298" s="1" t="s">
        <v>1687</v>
      </c>
      <c r="C298" s="1">
        <v>2021</v>
      </c>
      <c r="D298" s="1" t="s">
        <v>189</v>
      </c>
      <c r="E298" s="1">
        <v>116</v>
      </c>
      <c r="G298" s="1">
        <v>106635</v>
      </c>
      <c r="J298" s="1">
        <v>144</v>
      </c>
      <c r="K298" s="1" t="s">
        <v>1688</v>
      </c>
      <c r="L298" s="1" t="s">
        <v>1689</v>
      </c>
      <c r="M298" s="1" t="s">
        <v>54</v>
      </c>
      <c r="N298" s="1" t="s">
        <v>25</v>
      </c>
      <c r="P298" s="1" t="s">
        <v>27</v>
      </c>
      <c r="Q298" s="1" t="s">
        <v>1690</v>
      </c>
      <c r="R298" s="1" t="b">
        <f>COUNTIF(  Papers!G:G, RAW_DATA!Q298 ) = 0</f>
        <v>0</v>
      </c>
      <c r="S298" s="1" t="b">
        <f t="shared" si="1"/>
        <v>0</v>
      </c>
    </row>
    <row r="299" spans="1:19" ht="15.75" customHeight="1">
      <c r="A299" s="1" t="s">
        <v>1691</v>
      </c>
      <c r="B299" s="1" t="s">
        <v>1692</v>
      </c>
      <c r="C299" s="1">
        <v>2021</v>
      </c>
      <c r="D299" s="1" t="s">
        <v>687</v>
      </c>
      <c r="E299" s="1">
        <v>45</v>
      </c>
      <c r="F299" s="1">
        <v>3</v>
      </c>
      <c r="H299" s="1">
        <v>1483</v>
      </c>
      <c r="I299" s="1">
        <v>1499</v>
      </c>
      <c r="J299" s="1">
        <v>197</v>
      </c>
      <c r="K299" s="1" t="s">
        <v>1693</v>
      </c>
      <c r="L299" s="1" t="s">
        <v>1694</v>
      </c>
      <c r="M299" s="1" t="s">
        <v>54</v>
      </c>
      <c r="N299" s="1" t="s">
        <v>25</v>
      </c>
      <c r="P299" s="1" t="s">
        <v>27</v>
      </c>
      <c r="Q299" s="1" t="s">
        <v>1695</v>
      </c>
      <c r="R299" s="1" t="b">
        <f>COUNTIF(  Papers!G:G, RAW_DATA!Q299 ) = 0</f>
        <v>0</v>
      </c>
      <c r="S299" s="1" t="b">
        <f t="shared" si="1"/>
        <v>0</v>
      </c>
    </row>
    <row r="300" spans="1:19" ht="15.75" customHeight="1">
      <c r="A300" s="1" t="s">
        <v>1696</v>
      </c>
      <c r="B300" s="1" t="s">
        <v>1697</v>
      </c>
      <c r="C300" s="1">
        <v>2018</v>
      </c>
      <c r="D300" s="1" t="s">
        <v>1698</v>
      </c>
      <c r="E300" s="1">
        <v>12</v>
      </c>
      <c r="G300" s="1">
        <v>509</v>
      </c>
      <c r="J300" s="1">
        <v>150</v>
      </c>
      <c r="K300" s="1" t="s">
        <v>1699</v>
      </c>
      <c r="L300" s="1" t="s">
        <v>1700</v>
      </c>
      <c r="M300" s="1" t="s">
        <v>54</v>
      </c>
      <c r="N300" s="1" t="s">
        <v>25</v>
      </c>
      <c r="O300" s="1" t="s">
        <v>26</v>
      </c>
      <c r="P300" s="1" t="s">
        <v>27</v>
      </c>
      <c r="Q300" s="1" t="s">
        <v>1701</v>
      </c>
      <c r="R300" s="1" t="b">
        <f>COUNTIF(  Papers!G:G, RAW_DATA!Q300 ) = 0</f>
        <v>0</v>
      </c>
      <c r="S300" s="1" t="b">
        <f t="shared" si="1"/>
        <v>0</v>
      </c>
    </row>
    <row r="301" spans="1:19" ht="15.75" customHeight="1">
      <c r="A301" s="1" t="s">
        <v>1702</v>
      </c>
      <c r="B301" s="1" t="s">
        <v>1703</v>
      </c>
      <c r="C301" s="1">
        <v>2021</v>
      </c>
      <c r="D301" s="1" t="s">
        <v>1704</v>
      </c>
      <c r="E301" s="1">
        <v>51</v>
      </c>
      <c r="F301" s="1">
        <v>1</v>
      </c>
      <c r="G301" s="1">
        <v>9302892</v>
      </c>
      <c r="H301" s="1">
        <v>280</v>
      </c>
      <c r="I301" s="1">
        <v>297</v>
      </c>
      <c r="J301" s="1">
        <v>197</v>
      </c>
      <c r="K301" s="1" t="s">
        <v>1705</v>
      </c>
      <c r="L301" s="1" t="s">
        <v>1706</v>
      </c>
      <c r="M301" s="1" t="s">
        <v>24</v>
      </c>
      <c r="N301" s="1" t="s">
        <v>25</v>
      </c>
      <c r="P301" s="1" t="s">
        <v>27</v>
      </c>
      <c r="Q301" s="1" t="s">
        <v>1707</v>
      </c>
      <c r="R301" s="1" t="b">
        <f>COUNTIF(  Papers!G:G, RAW_DATA!Q301 ) = 0</f>
        <v>0</v>
      </c>
      <c r="S301" s="1" t="b">
        <f t="shared" si="1"/>
        <v>0</v>
      </c>
    </row>
    <row r="302" spans="1:19" ht="15.75" customHeight="1">
      <c r="A302" s="1" t="s">
        <v>1708</v>
      </c>
      <c r="B302" s="1" t="s">
        <v>1709</v>
      </c>
      <c r="C302" s="1">
        <v>2016</v>
      </c>
      <c r="D302" s="1" t="s">
        <v>1710</v>
      </c>
      <c r="E302" s="1">
        <v>59</v>
      </c>
      <c r="F302" s="1">
        <v>5</v>
      </c>
      <c r="H302" s="1">
        <v>70</v>
      </c>
      <c r="I302" s="1">
        <v>77</v>
      </c>
      <c r="J302" s="1">
        <v>217</v>
      </c>
      <c r="K302" s="1" t="s">
        <v>1711</v>
      </c>
      <c r="L302" s="1" t="s">
        <v>1712</v>
      </c>
      <c r="M302" s="1" t="s">
        <v>54</v>
      </c>
      <c r="N302" s="1" t="s">
        <v>25</v>
      </c>
      <c r="O302" s="1" t="s">
        <v>120</v>
      </c>
      <c r="P302" s="1" t="s">
        <v>27</v>
      </c>
      <c r="Q302" s="1" t="s">
        <v>1713</v>
      </c>
      <c r="R302" s="1" t="b">
        <f>COUNTIF(  Papers!G:G, RAW_DATA!Q302 ) = 0</f>
        <v>0</v>
      </c>
      <c r="S302" s="1" t="b">
        <f t="shared" si="1"/>
        <v>0</v>
      </c>
    </row>
    <row r="303" spans="1:19" ht="15.75" customHeight="1">
      <c r="A303" s="1" t="s">
        <v>1714</v>
      </c>
      <c r="B303" s="1" t="s">
        <v>1715</v>
      </c>
      <c r="C303" s="1">
        <v>2018</v>
      </c>
      <c r="D303" s="1" t="s">
        <v>304</v>
      </c>
      <c r="E303" s="1">
        <v>56</v>
      </c>
      <c r="H303" s="1">
        <v>82</v>
      </c>
      <c r="I303" s="1">
        <v>98</v>
      </c>
      <c r="J303" s="1">
        <v>171</v>
      </c>
      <c r="K303" s="1" t="s">
        <v>1716</v>
      </c>
      <c r="L303" s="1" t="s">
        <v>1717</v>
      </c>
      <c r="M303" s="1" t="s">
        <v>54</v>
      </c>
      <c r="N303" s="1" t="s">
        <v>25</v>
      </c>
      <c r="O303" s="1" t="s">
        <v>324</v>
      </c>
      <c r="P303" s="1" t="s">
        <v>27</v>
      </c>
      <c r="Q303" s="1" t="s">
        <v>1718</v>
      </c>
      <c r="R303" s="1" t="b">
        <f>COUNTIF(  Papers!G:G, RAW_DATA!Q303 ) = 0</f>
        <v>0</v>
      </c>
      <c r="S303" s="1" t="b">
        <f t="shared" si="1"/>
        <v>0</v>
      </c>
    </row>
    <row r="304" spans="1:19" ht="15.75" customHeight="1">
      <c r="A304" s="1" t="s">
        <v>1719</v>
      </c>
      <c r="B304" s="1" t="s">
        <v>1720</v>
      </c>
      <c r="C304" s="1">
        <v>2024</v>
      </c>
      <c r="D304" s="1" t="s">
        <v>1721</v>
      </c>
      <c r="E304" s="1">
        <v>36</v>
      </c>
      <c r="F304" s="1">
        <v>3</v>
      </c>
      <c r="H304" s="1">
        <v>975</v>
      </c>
      <c r="I304" s="1">
        <v>994</v>
      </c>
      <c r="J304" s="1">
        <v>137</v>
      </c>
      <c r="K304" s="1" t="s">
        <v>1722</v>
      </c>
      <c r="L304" s="1" t="s">
        <v>1723</v>
      </c>
      <c r="M304" s="1" t="s">
        <v>54</v>
      </c>
      <c r="N304" s="1" t="s">
        <v>25</v>
      </c>
      <c r="P304" s="1" t="s">
        <v>27</v>
      </c>
      <c r="Q304" s="1" t="s">
        <v>1724</v>
      </c>
      <c r="R304" s="1" t="b">
        <f>COUNTIF(  Papers!G:G, RAW_DATA!Q304 ) = 0</f>
        <v>0</v>
      </c>
      <c r="S304" s="1" t="b">
        <f t="shared" si="1"/>
        <v>0</v>
      </c>
    </row>
    <row r="305" spans="1:19" ht="15.75" customHeight="1">
      <c r="A305" s="1" t="s">
        <v>1725</v>
      </c>
      <c r="B305" s="1" t="s">
        <v>1726</v>
      </c>
      <c r="C305" s="1">
        <v>2025</v>
      </c>
      <c r="D305" s="1" t="s">
        <v>1727</v>
      </c>
      <c r="G305" s="1">
        <v>1121</v>
      </c>
      <c r="J305" s="1">
        <v>193</v>
      </c>
      <c r="K305" s="1" t="s">
        <v>1728</v>
      </c>
      <c r="L305" s="1" t="s">
        <v>1729</v>
      </c>
      <c r="M305" s="1" t="s">
        <v>169</v>
      </c>
      <c r="N305" s="1" t="s">
        <v>25</v>
      </c>
      <c r="O305" s="1" t="s">
        <v>41</v>
      </c>
      <c r="P305" s="1" t="s">
        <v>27</v>
      </c>
      <c r="Q305" s="1" t="s">
        <v>1730</v>
      </c>
      <c r="R305" s="1" t="b">
        <f>COUNTIF(  Papers!G:G, RAW_DATA!Q305 ) = 0</f>
        <v>0</v>
      </c>
      <c r="S305" s="1" t="b">
        <f t="shared" si="1"/>
        <v>0</v>
      </c>
    </row>
    <row r="306" spans="1:19" ht="15.75" customHeight="1">
      <c r="A306" s="1" t="s">
        <v>1731</v>
      </c>
      <c r="B306" s="1" t="s">
        <v>1732</v>
      </c>
      <c r="C306" s="1">
        <v>2023</v>
      </c>
      <c r="D306" s="1" t="s">
        <v>1733</v>
      </c>
      <c r="E306" s="1">
        <v>24</v>
      </c>
      <c r="J306" s="1">
        <v>186</v>
      </c>
      <c r="L306" s="1" t="s">
        <v>1734</v>
      </c>
      <c r="M306" s="1" t="s">
        <v>54</v>
      </c>
      <c r="N306" s="1" t="s">
        <v>25</v>
      </c>
      <c r="P306" s="1" t="s">
        <v>27</v>
      </c>
      <c r="Q306" s="1" t="s">
        <v>1735</v>
      </c>
      <c r="R306" s="1" t="b">
        <f>COUNTIF(  Papers!G:G, RAW_DATA!Q306 ) = 0</f>
        <v>0</v>
      </c>
      <c r="S306" s="1" t="b">
        <f t="shared" si="1"/>
        <v>0</v>
      </c>
    </row>
    <row r="307" spans="1:19" ht="15.75" customHeight="1">
      <c r="A307" s="1" t="s">
        <v>1736</v>
      </c>
      <c r="B307" s="1" t="s">
        <v>1737</v>
      </c>
      <c r="C307" s="1">
        <v>2020</v>
      </c>
      <c r="D307" s="1" t="s">
        <v>361</v>
      </c>
      <c r="E307" s="1">
        <v>15</v>
      </c>
      <c r="F307" s="1">
        <v>2</v>
      </c>
      <c r="G307" s="1" t="s">
        <v>1738</v>
      </c>
      <c r="J307" s="1">
        <v>175</v>
      </c>
      <c r="K307" s="1" t="s">
        <v>1739</v>
      </c>
      <c r="L307" s="1" t="s">
        <v>1740</v>
      </c>
      <c r="M307" s="1" t="s">
        <v>54</v>
      </c>
      <c r="N307" s="1" t="s">
        <v>25</v>
      </c>
      <c r="O307" s="1" t="s">
        <v>26</v>
      </c>
      <c r="P307" s="1" t="s">
        <v>27</v>
      </c>
      <c r="Q307" s="1" t="s">
        <v>1741</v>
      </c>
      <c r="R307" s="1" t="b">
        <f>COUNTIF(  Papers!G:G, RAW_DATA!Q307 ) = 0</f>
        <v>0</v>
      </c>
      <c r="S307" s="1" t="b">
        <f t="shared" si="1"/>
        <v>0</v>
      </c>
    </row>
    <row r="308" spans="1:19" ht="15.75" customHeight="1">
      <c r="A308" s="1" t="s">
        <v>1742</v>
      </c>
      <c r="B308" s="1" t="s">
        <v>1743</v>
      </c>
      <c r="C308" s="1">
        <v>2022</v>
      </c>
      <c r="D308" s="1" t="s">
        <v>1744</v>
      </c>
      <c r="E308" s="1">
        <v>9</v>
      </c>
      <c r="H308" s="1">
        <v>247</v>
      </c>
      <c r="I308" s="1">
        <v>276</v>
      </c>
      <c r="J308" s="1">
        <v>154</v>
      </c>
      <c r="K308" s="1" t="s">
        <v>1745</v>
      </c>
      <c r="L308" s="1" t="s">
        <v>1746</v>
      </c>
      <c r="M308" s="1" t="s">
        <v>24</v>
      </c>
      <c r="N308" s="1" t="s">
        <v>25</v>
      </c>
      <c r="O308" s="1" t="s">
        <v>113</v>
      </c>
      <c r="P308" s="1" t="s">
        <v>27</v>
      </c>
      <c r="Q308" s="1" t="s">
        <v>1747</v>
      </c>
      <c r="R308" s="1" t="b">
        <f>COUNTIF(  Papers!G:G, RAW_DATA!Q308 ) = 0</f>
        <v>0</v>
      </c>
      <c r="S308" s="1" t="b">
        <f t="shared" si="1"/>
        <v>0</v>
      </c>
    </row>
    <row r="309" spans="1:19" ht="15.75" customHeight="1">
      <c r="A309" s="1" t="s">
        <v>1748</v>
      </c>
      <c r="B309" s="1" t="s">
        <v>1749</v>
      </c>
      <c r="C309" s="1">
        <v>2018</v>
      </c>
      <c r="D309" s="1" t="s">
        <v>530</v>
      </c>
      <c r="E309" s="1">
        <v>68</v>
      </c>
      <c r="H309" s="1">
        <v>138</v>
      </c>
      <c r="I309" s="1">
        <v>145</v>
      </c>
      <c r="J309" s="1">
        <v>211</v>
      </c>
      <c r="K309" s="1" t="s">
        <v>1750</v>
      </c>
      <c r="L309" s="1" t="s">
        <v>1751</v>
      </c>
      <c r="M309" s="1" t="s">
        <v>54</v>
      </c>
      <c r="N309" s="1" t="s">
        <v>25</v>
      </c>
      <c r="O309" s="1" t="s">
        <v>113</v>
      </c>
      <c r="P309" s="1" t="s">
        <v>27</v>
      </c>
      <c r="Q309" s="1" t="s">
        <v>1752</v>
      </c>
      <c r="R309" s="1" t="b">
        <f>COUNTIF(  Papers!G:G, RAW_DATA!Q309 ) = 0</f>
        <v>0</v>
      </c>
      <c r="S309" s="1" t="b">
        <f t="shared" si="1"/>
        <v>0</v>
      </c>
    </row>
    <row r="310" spans="1:19" ht="15.75" customHeight="1">
      <c r="A310" s="1" t="s">
        <v>1753</v>
      </c>
      <c r="B310" s="1" t="s">
        <v>1754</v>
      </c>
      <c r="C310" s="1">
        <v>2018</v>
      </c>
      <c r="D310" s="1" t="s">
        <v>1755</v>
      </c>
      <c r="E310" s="1">
        <v>15</v>
      </c>
      <c r="F310" s="1">
        <v>3</v>
      </c>
      <c r="H310" s="1">
        <v>1178</v>
      </c>
      <c r="I310" s="1">
        <v>1192</v>
      </c>
      <c r="J310" s="1">
        <v>134</v>
      </c>
      <c r="K310" s="1" t="s">
        <v>1756</v>
      </c>
      <c r="L310" s="1" t="s">
        <v>1757</v>
      </c>
      <c r="M310" s="1" t="s">
        <v>54</v>
      </c>
      <c r="N310" s="1" t="s">
        <v>25</v>
      </c>
      <c r="P310" s="1" t="s">
        <v>27</v>
      </c>
      <c r="Q310" s="1" t="s">
        <v>1758</v>
      </c>
      <c r="R310" s="1" t="b">
        <f>COUNTIF(  Papers!G:G, RAW_DATA!Q310 ) = 0</f>
        <v>0</v>
      </c>
      <c r="S310" s="1" t="b">
        <f t="shared" si="1"/>
        <v>0</v>
      </c>
    </row>
    <row r="311" spans="1:19" ht="15.75" customHeight="1">
      <c r="A311" s="1" t="s">
        <v>1759</v>
      </c>
      <c r="B311" s="1" t="s">
        <v>1760</v>
      </c>
      <c r="C311" s="1">
        <v>2022</v>
      </c>
      <c r="D311" s="1" t="s">
        <v>547</v>
      </c>
      <c r="E311" s="1">
        <v>10</v>
      </c>
      <c r="H311" s="1">
        <v>1138</v>
      </c>
      <c r="I311" s="1">
        <v>1158</v>
      </c>
      <c r="J311" s="1">
        <v>186</v>
      </c>
      <c r="K311" s="1" t="s">
        <v>1761</v>
      </c>
      <c r="L311" s="1" t="s">
        <v>1762</v>
      </c>
      <c r="M311" s="1" t="s">
        <v>54</v>
      </c>
      <c r="N311" s="1" t="s">
        <v>25</v>
      </c>
      <c r="O311" s="1" t="s">
        <v>26</v>
      </c>
      <c r="P311" s="1" t="s">
        <v>27</v>
      </c>
      <c r="Q311" s="1" t="s">
        <v>1763</v>
      </c>
      <c r="R311" s="1" t="b">
        <f>COUNTIF(  Papers!G:G, RAW_DATA!Q311 ) = 0</f>
        <v>0</v>
      </c>
      <c r="S311" s="1" t="b">
        <f t="shared" si="1"/>
        <v>0</v>
      </c>
    </row>
    <row r="312" spans="1:19" ht="15.75" customHeight="1">
      <c r="A312" s="1" t="s">
        <v>1764</v>
      </c>
      <c r="B312" s="1" t="s">
        <v>1765</v>
      </c>
      <c r="C312" s="1">
        <v>2023</v>
      </c>
      <c r="D312" s="1" t="s">
        <v>995</v>
      </c>
      <c r="E312" s="1">
        <v>70</v>
      </c>
      <c r="H312" s="1">
        <v>160</v>
      </c>
      <c r="I312" s="1">
        <v>185</v>
      </c>
      <c r="J312" s="1">
        <v>157</v>
      </c>
      <c r="K312" s="1" t="s">
        <v>1766</v>
      </c>
      <c r="L312" s="1" t="s">
        <v>1767</v>
      </c>
      <c r="M312" s="1" t="s">
        <v>24</v>
      </c>
      <c r="N312" s="1" t="s">
        <v>25</v>
      </c>
      <c r="O312" s="1" t="s">
        <v>100</v>
      </c>
      <c r="P312" s="1" t="s">
        <v>27</v>
      </c>
      <c r="Q312" s="1" t="s">
        <v>1768</v>
      </c>
      <c r="R312" s="1" t="b">
        <f>COUNTIF(  Papers!G:G, RAW_DATA!Q312 ) = 0</f>
        <v>0</v>
      </c>
      <c r="S312" s="1" t="b">
        <f t="shared" si="1"/>
        <v>0</v>
      </c>
    </row>
    <row r="313" spans="1:19" ht="15.75" customHeight="1">
      <c r="A313" s="1" t="s">
        <v>1769</v>
      </c>
      <c r="B313" s="1" t="s">
        <v>1770</v>
      </c>
      <c r="C313" s="1">
        <v>2021</v>
      </c>
      <c r="D313" s="1" t="s">
        <v>189</v>
      </c>
      <c r="E313" s="1">
        <v>119</v>
      </c>
      <c r="G313" s="1">
        <v>106730</v>
      </c>
      <c r="J313" s="1">
        <v>209</v>
      </c>
      <c r="K313" s="1" t="s">
        <v>1771</v>
      </c>
      <c r="L313" s="1" t="s">
        <v>1772</v>
      </c>
      <c r="M313" s="1" t="s">
        <v>54</v>
      </c>
      <c r="N313" s="1" t="s">
        <v>25</v>
      </c>
      <c r="O313" s="1" t="s">
        <v>120</v>
      </c>
      <c r="P313" s="1" t="s">
        <v>27</v>
      </c>
      <c r="Q313" s="1" t="s">
        <v>1773</v>
      </c>
      <c r="R313" s="1" t="b">
        <f>COUNTIF(  Papers!G:G, RAW_DATA!Q313 ) = 0</f>
        <v>0</v>
      </c>
      <c r="S313" s="1" t="b">
        <f t="shared" si="1"/>
        <v>0</v>
      </c>
    </row>
    <row r="314" spans="1:19" ht="15.75" customHeight="1">
      <c r="A314" s="1" t="s">
        <v>1774</v>
      </c>
      <c r="B314" s="1" t="s">
        <v>1775</v>
      </c>
      <c r="C314" s="1">
        <v>2021</v>
      </c>
      <c r="D314" s="1" t="s">
        <v>1776</v>
      </c>
      <c r="E314" s="1">
        <v>35</v>
      </c>
      <c r="F314" s="1">
        <v>5</v>
      </c>
      <c r="H314" s="1">
        <v>634</v>
      </c>
      <c r="I314" s="1">
        <v>646</v>
      </c>
      <c r="J314" s="1">
        <v>169</v>
      </c>
      <c r="K314" s="1" t="s">
        <v>1777</v>
      </c>
      <c r="L314" s="1" t="s">
        <v>1778</v>
      </c>
      <c r="M314" s="1" t="s">
        <v>54</v>
      </c>
      <c r="N314" s="1" t="s">
        <v>25</v>
      </c>
      <c r="P314" s="1" t="s">
        <v>27</v>
      </c>
      <c r="Q314" s="1" t="s">
        <v>1779</v>
      </c>
      <c r="R314" s="1" t="b">
        <f>COUNTIF(  Papers!G:G, RAW_DATA!Q314 ) = 0</f>
        <v>0</v>
      </c>
      <c r="S314" s="1" t="b">
        <f t="shared" si="1"/>
        <v>0</v>
      </c>
    </row>
    <row r="315" spans="1:19" ht="15.75" customHeight="1">
      <c r="A315" s="1" t="s">
        <v>1780</v>
      </c>
      <c r="B315" s="1" t="s">
        <v>1781</v>
      </c>
      <c r="C315" s="1">
        <v>2021</v>
      </c>
      <c r="D315" s="1" t="s">
        <v>436</v>
      </c>
      <c r="E315" s="1">
        <v>5</v>
      </c>
      <c r="F315" s="1" t="s">
        <v>1782</v>
      </c>
      <c r="G315" s="1">
        <v>327</v>
      </c>
      <c r="J315" s="1">
        <v>173</v>
      </c>
      <c r="K315" s="1" t="s">
        <v>1783</v>
      </c>
      <c r="L315" s="1" t="s">
        <v>1784</v>
      </c>
      <c r="M315" s="1" t="s">
        <v>54</v>
      </c>
      <c r="N315" s="1" t="s">
        <v>25</v>
      </c>
      <c r="O315" s="1" t="s">
        <v>113</v>
      </c>
      <c r="P315" s="1" t="s">
        <v>27</v>
      </c>
      <c r="Q315" s="1" t="s">
        <v>1785</v>
      </c>
      <c r="R315" s="1" t="b">
        <f>COUNTIF(  Papers!G:G, RAW_DATA!Q315 ) = 0</f>
        <v>0</v>
      </c>
      <c r="S315" s="1" t="b">
        <f t="shared" si="1"/>
        <v>0</v>
      </c>
    </row>
    <row r="316" spans="1:19" ht="15.75" customHeight="1">
      <c r="A316" s="1" t="s">
        <v>1786</v>
      </c>
      <c r="B316" s="1" t="s">
        <v>1787</v>
      </c>
      <c r="C316" s="1">
        <v>2021</v>
      </c>
      <c r="D316" s="1" t="s">
        <v>321</v>
      </c>
      <c r="E316" s="1">
        <v>118</v>
      </c>
      <c r="F316" s="1">
        <v>1</v>
      </c>
      <c r="G316" s="1" t="s">
        <v>1788</v>
      </c>
      <c r="J316" s="1">
        <v>149</v>
      </c>
      <c r="K316" s="1" t="s">
        <v>1789</v>
      </c>
      <c r="L316" s="1" t="s">
        <v>1790</v>
      </c>
      <c r="M316" s="1" t="s">
        <v>24</v>
      </c>
      <c r="N316" s="1" t="s">
        <v>25</v>
      </c>
      <c r="O316" s="1" t="s">
        <v>100</v>
      </c>
      <c r="P316" s="1" t="s">
        <v>27</v>
      </c>
      <c r="Q316" s="1" t="s">
        <v>1791</v>
      </c>
      <c r="R316" s="1" t="b">
        <f>COUNTIF(  Papers!G:G, RAW_DATA!Q316 ) = 0</f>
        <v>0</v>
      </c>
      <c r="S316" s="1" t="b">
        <f t="shared" si="1"/>
        <v>0</v>
      </c>
    </row>
    <row r="317" spans="1:19" ht="15.75" customHeight="1">
      <c r="A317" s="1" t="s">
        <v>1792</v>
      </c>
      <c r="B317" s="1" t="s">
        <v>1793</v>
      </c>
      <c r="C317" s="1">
        <v>2021</v>
      </c>
      <c r="D317" s="1" t="s">
        <v>59</v>
      </c>
      <c r="E317" s="1">
        <v>128</v>
      </c>
      <c r="G317" s="1">
        <v>103199</v>
      </c>
      <c r="J317" s="1">
        <v>178</v>
      </c>
      <c r="K317" s="1" t="s">
        <v>1794</v>
      </c>
      <c r="L317" s="1" t="s">
        <v>1795</v>
      </c>
      <c r="M317" s="1" t="s">
        <v>54</v>
      </c>
      <c r="N317" s="1" t="s">
        <v>25</v>
      </c>
      <c r="P317" s="1" t="s">
        <v>27</v>
      </c>
      <c r="Q317" s="1" t="s">
        <v>1796</v>
      </c>
      <c r="R317" s="1" t="b">
        <f>COUNTIF(  Papers!G:G, RAW_DATA!Q317 ) = 0</f>
        <v>0</v>
      </c>
      <c r="S317" s="1" t="b">
        <f t="shared" si="1"/>
        <v>0</v>
      </c>
    </row>
    <row r="318" spans="1:19" ht="15.75" customHeight="1">
      <c r="A318" s="1" t="s">
        <v>1797</v>
      </c>
      <c r="B318" s="1" t="s">
        <v>1798</v>
      </c>
      <c r="C318" s="1">
        <v>2023</v>
      </c>
      <c r="D318" s="1" t="s">
        <v>1799</v>
      </c>
      <c r="E318" s="1">
        <v>33</v>
      </c>
      <c r="F318" s="1">
        <v>3</v>
      </c>
      <c r="G318" s="1">
        <v>100066</v>
      </c>
      <c r="J318" s="1">
        <v>168</v>
      </c>
      <c r="K318" s="1" t="s">
        <v>1800</v>
      </c>
      <c r="L318" s="1" t="s">
        <v>1801</v>
      </c>
      <c r="M318" s="1" t="s">
        <v>54</v>
      </c>
      <c r="N318" s="1" t="s">
        <v>25</v>
      </c>
      <c r="O318" s="1" t="s">
        <v>26</v>
      </c>
      <c r="P318" s="1" t="s">
        <v>27</v>
      </c>
      <c r="Q318" s="1" t="s">
        <v>1802</v>
      </c>
      <c r="R318" s="1" t="b">
        <f>COUNTIF(  Papers!G:G, RAW_DATA!Q318 ) = 0</f>
        <v>0</v>
      </c>
      <c r="S318" s="1" t="b">
        <f t="shared" si="1"/>
        <v>0</v>
      </c>
    </row>
    <row r="319" spans="1:19" ht="15.75" customHeight="1">
      <c r="A319" s="1" t="s">
        <v>1803</v>
      </c>
      <c r="B319" s="1" t="s">
        <v>1804</v>
      </c>
      <c r="C319" s="1">
        <v>2017</v>
      </c>
      <c r="D319" s="1" t="s">
        <v>247</v>
      </c>
      <c r="E319" s="1" t="s">
        <v>1805</v>
      </c>
      <c r="H319" s="1">
        <v>5988</v>
      </c>
      <c r="I319" s="1">
        <v>5999</v>
      </c>
      <c r="J319" s="1">
        <v>173</v>
      </c>
      <c r="K319" s="1" t="s">
        <v>1806</v>
      </c>
      <c r="L319" s="1" t="s">
        <v>1807</v>
      </c>
      <c r="M319" s="1" t="s">
        <v>169</v>
      </c>
      <c r="N319" s="1" t="s">
        <v>25</v>
      </c>
      <c r="P319" s="1" t="s">
        <v>27</v>
      </c>
      <c r="Q319" s="1" t="s">
        <v>1808</v>
      </c>
      <c r="R319" s="1" t="b">
        <f>COUNTIF(  Papers!G:G, RAW_DATA!Q319 ) = 0</f>
        <v>0</v>
      </c>
      <c r="S319" s="1" t="b">
        <f t="shared" si="1"/>
        <v>0</v>
      </c>
    </row>
    <row r="320" spans="1:19" ht="15.75" customHeight="1">
      <c r="A320" s="1" t="s">
        <v>1809</v>
      </c>
      <c r="B320" s="1" t="s">
        <v>1810</v>
      </c>
      <c r="C320" s="1">
        <v>2023</v>
      </c>
      <c r="D320" s="1" t="s">
        <v>1811</v>
      </c>
      <c r="E320" s="1">
        <v>83</v>
      </c>
      <c r="F320" s="1">
        <v>2</v>
      </c>
      <c r="H320" s="1">
        <v>241</v>
      </c>
      <c r="I320" s="1">
        <v>262</v>
      </c>
      <c r="J320" s="1">
        <v>160</v>
      </c>
      <c r="K320" s="1" t="s">
        <v>1812</v>
      </c>
      <c r="L320" s="1" t="s">
        <v>1813</v>
      </c>
      <c r="M320" s="1" t="s">
        <v>54</v>
      </c>
      <c r="N320" s="1" t="s">
        <v>25</v>
      </c>
      <c r="O320" s="1" t="s">
        <v>100</v>
      </c>
      <c r="P320" s="1" t="s">
        <v>27</v>
      </c>
      <c r="Q320" s="1" t="s">
        <v>1814</v>
      </c>
      <c r="R320" s="1" t="b">
        <f>COUNTIF(  Papers!G:G, RAW_DATA!Q320 ) = 0</f>
        <v>0</v>
      </c>
      <c r="S320" s="1" t="b">
        <f t="shared" si="1"/>
        <v>0</v>
      </c>
    </row>
    <row r="321" spans="1:19" ht="15.75" customHeight="1">
      <c r="A321" s="1" t="s">
        <v>1815</v>
      </c>
      <c r="B321" s="1" t="s">
        <v>1816</v>
      </c>
      <c r="C321" s="1">
        <v>2022</v>
      </c>
      <c r="D321" s="1" t="s">
        <v>1817</v>
      </c>
      <c r="E321" s="1">
        <v>9</v>
      </c>
      <c r="G321" s="1">
        <v>799522</v>
      </c>
      <c r="J321" s="1">
        <v>144</v>
      </c>
      <c r="K321" s="1" t="s">
        <v>1818</v>
      </c>
      <c r="L321" s="1" t="s">
        <v>1819</v>
      </c>
      <c r="M321" s="1" t="s">
        <v>24</v>
      </c>
      <c r="N321" s="1" t="s">
        <v>25</v>
      </c>
      <c r="O321" s="1" t="s">
        <v>26</v>
      </c>
      <c r="P321" s="1" t="s">
        <v>27</v>
      </c>
      <c r="Q321" s="1" t="s">
        <v>1820</v>
      </c>
      <c r="R321" s="1" t="b">
        <f>COUNTIF(  Papers!G:G, RAW_DATA!Q321 ) = 0</f>
        <v>0</v>
      </c>
      <c r="S321" s="1" t="b">
        <f t="shared" si="1"/>
        <v>0</v>
      </c>
    </row>
    <row r="322" spans="1:19" ht="15.75" customHeight="1">
      <c r="A322" s="1" t="s">
        <v>1821</v>
      </c>
      <c r="B322" s="1" t="s">
        <v>1822</v>
      </c>
      <c r="C322" s="1">
        <v>2023</v>
      </c>
      <c r="D322" s="1" t="s">
        <v>189</v>
      </c>
      <c r="E322" s="1">
        <v>138</v>
      </c>
      <c r="G322" s="1">
        <v>107485</v>
      </c>
      <c r="J322" s="1">
        <v>138</v>
      </c>
      <c r="K322" s="1" t="s">
        <v>1823</v>
      </c>
      <c r="L322" s="1" t="s">
        <v>1824</v>
      </c>
      <c r="M322" s="1" t="s">
        <v>54</v>
      </c>
      <c r="N322" s="1" t="s">
        <v>25</v>
      </c>
      <c r="P322" s="1" t="s">
        <v>27</v>
      </c>
      <c r="Q322" s="1" t="s">
        <v>1825</v>
      </c>
      <c r="R322" s="1" t="b">
        <f>COUNTIF(  Papers!G:G, RAW_DATA!Q322 ) = 0</f>
        <v>0</v>
      </c>
      <c r="S322" s="1" t="b">
        <f t="shared" si="1"/>
        <v>0</v>
      </c>
    </row>
    <row r="323" spans="1:19" ht="15.75" customHeight="1">
      <c r="A323" s="1" t="s">
        <v>1826</v>
      </c>
      <c r="B323" s="1" t="s">
        <v>1827</v>
      </c>
      <c r="C323" s="1">
        <v>2021</v>
      </c>
      <c r="D323" s="1" t="s">
        <v>782</v>
      </c>
      <c r="E323" s="1">
        <v>154</v>
      </c>
      <c r="G323" s="1">
        <v>102684</v>
      </c>
      <c r="J323" s="1">
        <v>192</v>
      </c>
      <c r="K323" s="1" t="s">
        <v>1828</v>
      </c>
      <c r="L323" s="1" t="s">
        <v>1829</v>
      </c>
      <c r="M323" s="1" t="s">
        <v>54</v>
      </c>
      <c r="N323" s="1" t="s">
        <v>25</v>
      </c>
      <c r="O323" s="1" t="s">
        <v>55</v>
      </c>
      <c r="P323" s="1" t="s">
        <v>27</v>
      </c>
      <c r="Q323" s="1" t="s">
        <v>1830</v>
      </c>
      <c r="R323" s="1" t="b">
        <f>COUNTIF(  Papers!G:G, RAW_DATA!Q323 ) = 0</f>
        <v>0</v>
      </c>
      <c r="S323" s="1" t="b">
        <f t="shared" si="1"/>
        <v>0</v>
      </c>
    </row>
    <row r="324" spans="1:19" ht="15.75" customHeight="1">
      <c r="A324" s="1" t="s">
        <v>1831</v>
      </c>
      <c r="B324" s="1" t="s">
        <v>1832</v>
      </c>
      <c r="C324" s="1">
        <v>2019</v>
      </c>
      <c r="D324" s="1" t="s">
        <v>1833</v>
      </c>
      <c r="E324" s="1">
        <v>124</v>
      </c>
      <c r="H324" s="1">
        <v>199</v>
      </c>
      <c r="I324" s="1">
        <v>216</v>
      </c>
      <c r="J324" s="1">
        <v>141</v>
      </c>
      <c r="K324" s="1" t="s">
        <v>1834</v>
      </c>
      <c r="L324" s="1" t="s">
        <v>1835</v>
      </c>
      <c r="M324" s="1" t="s">
        <v>54</v>
      </c>
      <c r="N324" s="1" t="s">
        <v>25</v>
      </c>
      <c r="P324" s="1" t="s">
        <v>27</v>
      </c>
      <c r="Q324" s="1" t="s">
        <v>1836</v>
      </c>
      <c r="R324" s="1" t="b">
        <f>COUNTIF(  Papers!G:G, RAW_DATA!Q324 ) = 0</f>
        <v>0</v>
      </c>
      <c r="S324" s="1" t="b">
        <f t="shared" si="1"/>
        <v>0</v>
      </c>
    </row>
    <row r="325" spans="1:19" ht="15.75" customHeight="1">
      <c r="A325" s="1" t="s">
        <v>1837</v>
      </c>
      <c r="B325" s="1" t="s">
        <v>1838</v>
      </c>
      <c r="C325" s="1">
        <v>2020</v>
      </c>
      <c r="D325" s="1" t="s">
        <v>436</v>
      </c>
      <c r="E325" s="1">
        <v>4</v>
      </c>
      <c r="F325" s="1" t="s">
        <v>437</v>
      </c>
      <c r="G325" s="1">
        <v>22</v>
      </c>
      <c r="J325" s="1">
        <v>201</v>
      </c>
      <c r="K325" s="1" t="s">
        <v>1839</v>
      </c>
      <c r="L325" s="1" t="s">
        <v>1840</v>
      </c>
      <c r="M325" s="1" t="s">
        <v>54</v>
      </c>
      <c r="N325" s="1" t="s">
        <v>25</v>
      </c>
      <c r="P325" s="1" t="s">
        <v>27</v>
      </c>
      <c r="Q325" s="1" t="s">
        <v>1841</v>
      </c>
      <c r="R325" s="1" t="b">
        <f>COUNTIF(  Papers!G:G, RAW_DATA!Q325 ) = 0</f>
        <v>0</v>
      </c>
      <c r="S325" s="1" t="b">
        <f t="shared" si="1"/>
        <v>0</v>
      </c>
    </row>
    <row r="326" spans="1:19" ht="15.75" customHeight="1">
      <c r="A326" s="1" t="s">
        <v>1842</v>
      </c>
      <c r="B326" s="1" t="s">
        <v>1843</v>
      </c>
      <c r="C326" s="1">
        <v>2024</v>
      </c>
      <c r="D326" s="1" t="s">
        <v>592</v>
      </c>
      <c r="E326" s="1">
        <v>7</v>
      </c>
      <c r="G326" s="1">
        <v>100259</v>
      </c>
      <c r="J326" s="1">
        <v>203</v>
      </c>
      <c r="K326" s="1" t="s">
        <v>1844</v>
      </c>
      <c r="L326" s="1" t="s">
        <v>1845</v>
      </c>
      <c r="M326" s="1" t="s">
        <v>54</v>
      </c>
      <c r="N326" s="1" t="s">
        <v>25</v>
      </c>
      <c r="O326" s="1" t="s">
        <v>26</v>
      </c>
      <c r="P326" s="1" t="s">
        <v>27</v>
      </c>
      <c r="Q326" s="1" t="s">
        <v>1846</v>
      </c>
      <c r="R326" s="1" t="b">
        <f>COUNTIF(  Papers!G:G, RAW_DATA!Q326 ) = 0</f>
        <v>0</v>
      </c>
      <c r="S326" s="1" t="b">
        <f t="shared" si="1"/>
        <v>0</v>
      </c>
    </row>
    <row r="327" spans="1:19" ht="15.75" customHeight="1">
      <c r="A327" s="1" t="s">
        <v>1847</v>
      </c>
      <c r="B327" s="1" t="s">
        <v>1848</v>
      </c>
      <c r="C327" s="1">
        <v>2022</v>
      </c>
      <c r="D327" s="1" t="s">
        <v>1849</v>
      </c>
      <c r="E327" s="1">
        <v>3</v>
      </c>
      <c r="H327" s="1">
        <v>2106</v>
      </c>
      <c r="I327" s="1">
        <v>2136</v>
      </c>
      <c r="J327" s="1">
        <v>140</v>
      </c>
      <c r="K327" s="1" t="s">
        <v>1850</v>
      </c>
      <c r="L327" s="1" t="s">
        <v>1851</v>
      </c>
      <c r="M327" s="1" t="s">
        <v>24</v>
      </c>
      <c r="N327" s="1" t="s">
        <v>25</v>
      </c>
      <c r="O327" s="1" t="s">
        <v>26</v>
      </c>
      <c r="P327" s="1" t="s">
        <v>27</v>
      </c>
      <c r="Q327" s="1" t="s">
        <v>1852</v>
      </c>
      <c r="R327" s="1" t="b">
        <f>COUNTIF(  Papers!G:G, RAW_DATA!Q327 ) = 0</f>
        <v>0</v>
      </c>
      <c r="S327" s="1" t="b">
        <f t="shared" si="1"/>
        <v>0</v>
      </c>
    </row>
    <row r="328" spans="1:19" ht="15.75" customHeight="1">
      <c r="A328" s="1" t="s">
        <v>1853</v>
      </c>
      <c r="B328" s="1" t="s">
        <v>1854</v>
      </c>
      <c r="C328" s="1">
        <v>2021</v>
      </c>
      <c r="D328" s="1" t="s">
        <v>1855</v>
      </c>
      <c r="E328" s="1">
        <v>26</v>
      </c>
      <c r="F328" s="1">
        <v>6</v>
      </c>
      <c r="H328" s="1">
        <v>384</v>
      </c>
      <c r="I328" s="1">
        <v>402</v>
      </c>
      <c r="J328" s="1">
        <v>177</v>
      </c>
      <c r="K328" s="1" t="s">
        <v>1856</v>
      </c>
      <c r="L328" s="1" t="s">
        <v>1857</v>
      </c>
      <c r="M328" s="1" t="s">
        <v>54</v>
      </c>
      <c r="N328" s="1" t="s">
        <v>25</v>
      </c>
      <c r="O328" s="1" t="s">
        <v>41</v>
      </c>
      <c r="P328" s="1" t="s">
        <v>27</v>
      </c>
      <c r="Q328" s="1" t="s">
        <v>1858</v>
      </c>
      <c r="R328" s="1" t="b">
        <f>COUNTIF(  Papers!G:G, RAW_DATA!Q328 ) = 0</f>
        <v>0</v>
      </c>
      <c r="S328" s="1" t="b">
        <f t="shared" si="1"/>
        <v>0</v>
      </c>
    </row>
    <row r="329" spans="1:19" ht="15.75" customHeight="1">
      <c r="A329" s="1" t="s">
        <v>1859</v>
      </c>
      <c r="B329" s="1" t="s">
        <v>1860</v>
      </c>
      <c r="C329" s="1">
        <v>2023</v>
      </c>
      <c r="D329" s="1" t="s">
        <v>1861</v>
      </c>
      <c r="E329" s="1">
        <v>5</v>
      </c>
      <c r="G329" s="1">
        <v>1096257</v>
      </c>
      <c r="J329" s="1">
        <v>185</v>
      </c>
      <c r="K329" s="1" t="s">
        <v>1862</v>
      </c>
      <c r="L329" s="1" t="s">
        <v>1863</v>
      </c>
      <c r="M329" s="1" t="s">
        <v>24</v>
      </c>
      <c r="N329" s="1" t="s">
        <v>25</v>
      </c>
      <c r="O329" s="1" t="s">
        <v>26</v>
      </c>
      <c r="P329" s="1" t="s">
        <v>27</v>
      </c>
      <c r="Q329" s="1" t="s">
        <v>1864</v>
      </c>
      <c r="R329" s="1" t="b">
        <f>COUNTIF(  Papers!G:G, RAW_DATA!Q329 ) = 0</f>
        <v>0</v>
      </c>
      <c r="S329" s="1" t="b">
        <f t="shared" si="1"/>
        <v>0</v>
      </c>
    </row>
    <row r="330" spans="1:19" ht="15.75" customHeight="1">
      <c r="A330" s="1" t="s">
        <v>1865</v>
      </c>
      <c r="B330" s="1" t="s">
        <v>1866</v>
      </c>
      <c r="C330" s="1">
        <v>2020</v>
      </c>
      <c r="D330" s="1" t="s">
        <v>443</v>
      </c>
      <c r="H330" s="1">
        <v>275</v>
      </c>
      <c r="I330" s="1">
        <v>285</v>
      </c>
      <c r="J330" s="1">
        <v>184</v>
      </c>
      <c r="K330" s="1" t="s">
        <v>1867</v>
      </c>
      <c r="L330" s="1" t="s">
        <v>1868</v>
      </c>
      <c r="M330" s="1" t="s">
        <v>169</v>
      </c>
      <c r="N330" s="1" t="s">
        <v>25</v>
      </c>
      <c r="P330" s="1" t="s">
        <v>27</v>
      </c>
      <c r="Q330" s="1" t="s">
        <v>1869</v>
      </c>
      <c r="R330" s="1" t="b">
        <f>COUNTIF(  Papers!G:G, RAW_DATA!Q330 ) = 0</f>
        <v>0</v>
      </c>
      <c r="S330" s="1" t="b">
        <f t="shared" si="1"/>
        <v>0</v>
      </c>
    </row>
    <row r="331" spans="1:19" ht="15.75" customHeight="1">
      <c r="A331" s="1" t="s">
        <v>1870</v>
      </c>
      <c r="B331" s="1" t="s">
        <v>1871</v>
      </c>
      <c r="C331" s="1">
        <v>2020</v>
      </c>
      <c r="D331" s="1" t="s">
        <v>1872</v>
      </c>
      <c r="E331" s="1">
        <v>9</v>
      </c>
      <c r="F331" s="1">
        <v>2</v>
      </c>
      <c r="G331" s="1">
        <v>9</v>
      </c>
      <c r="J331" s="1">
        <v>138</v>
      </c>
      <c r="K331" s="1" t="s">
        <v>1873</v>
      </c>
      <c r="L331" s="1" t="s">
        <v>1874</v>
      </c>
      <c r="M331" s="1" t="s">
        <v>54</v>
      </c>
      <c r="N331" s="1" t="s">
        <v>25</v>
      </c>
      <c r="O331" s="1" t="s">
        <v>324</v>
      </c>
      <c r="P331" s="1" t="s">
        <v>27</v>
      </c>
      <c r="Q331" s="1" t="s">
        <v>1875</v>
      </c>
      <c r="R331" s="1" t="b">
        <f>COUNTIF(  Papers!G:G, RAW_DATA!Q331 ) = 0</f>
        <v>0</v>
      </c>
      <c r="S331" s="1" t="b">
        <f t="shared" si="1"/>
        <v>0</v>
      </c>
    </row>
    <row r="332" spans="1:19" ht="15.75" customHeight="1">
      <c r="A332" s="1" t="s">
        <v>1876</v>
      </c>
      <c r="B332" s="1" t="s">
        <v>1877</v>
      </c>
      <c r="C332" s="1">
        <v>2023</v>
      </c>
      <c r="D332" s="1" t="s">
        <v>1878</v>
      </c>
      <c r="E332" s="1">
        <v>20</v>
      </c>
      <c r="F332" s="1">
        <v>1</v>
      </c>
      <c r="G332" s="1">
        <v>63</v>
      </c>
      <c r="J332" s="1">
        <v>146</v>
      </c>
      <c r="K332" s="1" t="s">
        <v>1879</v>
      </c>
      <c r="L332" s="1" t="s">
        <v>1880</v>
      </c>
      <c r="M332" s="1" t="s">
        <v>54</v>
      </c>
      <c r="N332" s="1" t="s">
        <v>25</v>
      </c>
      <c r="O332" s="1" t="s">
        <v>26</v>
      </c>
      <c r="P332" s="1" t="s">
        <v>27</v>
      </c>
      <c r="Q332" s="1" t="s">
        <v>1881</v>
      </c>
      <c r="R332" s="1" t="b">
        <f>COUNTIF(  Papers!G:G, RAW_DATA!Q332 ) = 0</f>
        <v>0</v>
      </c>
      <c r="S332" s="1" t="b">
        <f t="shared" si="1"/>
        <v>0</v>
      </c>
    </row>
    <row r="333" spans="1:19" ht="15.75" customHeight="1">
      <c r="A333" s="1" t="s">
        <v>1882</v>
      </c>
      <c r="B333" s="1" t="s">
        <v>1883</v>
      </c>
      <c r="C333" s="1">
        <v>2022</v>
      </c>
      <c r="D333" s="1" t="s">
        <v>1123</v>
      </c>
      <c r="E333" s="1">
        <v>24</v>
      </c>
      <c r="F333" s="1">
        <v>3</v>
      </c>
      <c r="H333" s="1">
        <v>857</v>
      </c>
      <c r="I333" s="1">
        <v>875</v>
      </c>
      <c r="J333" s="1">
        <v>148</v>
      </c>
      <c r="K333" s="1" t="s">
        <v>1884</v>
      </c>
      <c r="L333" s="1" t="s">
        <v>1885</v>
      </c>
      <c r="M333" s="1" t="s">
        <v>54</v>
      </c>
      <c r="N333" s="1" t="s">
        <v>25</v>
      </c>
      <c r="O333" s="1" t="s">
        <v>100</v>
      </c>
      <c r="P333" s="1" t="s">
        <v>27</v>
      </c>
      <c r="Q333" s="1" t="s">
        <v>1886</v>
      </c>
      <c r="R333" s="1" t="b">
        <f>COUNTIF(  Papers!G:G, RAW_DATA!Q333 ) = 0</f>
        <v>0</v>
      </c>
      <c r="S333" s="1" t="b">
        <f t="shared" si="1"/>
        <v>0</v>
      </c>
    </row>
    <row r="334" spans="1:19" ht="15.75" customHeight="1">
      <c r="A334" s="1" t="s">
        <v>1887</v>
      </c>
      <c r="B334" s="1" t="s">
        <v>1888</v>
      </c>
      <c r="C334" s="1">
        <v>2022</v>
      </c>
      <c r="D334" s="1" t="s">
        <v>386</v>
      </c>
      <c r="E334" s="1">
        <v>9</v>
      </c>
      <c r="F334" s="1">
        <v>2</v>
      </c>
      <c r="J334" s="1">
        <v>173</v>
      </c>
      <c r="K334" s="1" t="s">
        <v>1889</v>
      </c>
      <c r="L334" s="1" t="s">
        <v>1890</v>
      </c>
      <c r="M334" s="1" t="s">
        <v>54</v>
      </c>
      <c r="N334" s="1" t="s">
        <v>25</v>
      </c>
      <c r="O334" s="1" t="s">
        <v>26</v>
      </c>
      <c r="P334" s="1" t="s">
        <v>27</v>
      </c>
      <c r="Q334" s="1" t="s">
        <v>1891</v>
      </c>
      <c r="R334" s="1" t="b">
        <f>COUNTIF(  Papers!G:G, RAW_DATA!Q334 ) = 0</f>
        <v>0</v>
      </c>
      <c r="S334" s="1" t="b">
        <f t="shared" si="1"/>
        <v>0</v>
      </c>
    </row>
    <row r="335" spans="1:19" ht="15.75" customHeight="1">
      <c r="A335" s="1" t="s">
        <v>1892</v>
      </c>
      <c r="B335" s="1" t="s">
        <v>1893</v>
      </c>
      <c r="C335" s="1">
        <v>2022</v>
      </c>
      <c r="D335" s="1" t="s">
        <v>1894</v>
      </c>
      <c r="E335" s="1">
        <v>615</v>
      </c>
      <c r="H335" s="1">
        <v>238</v>
      </c>
      <c r="I335" s="1">
        <v>292</v>
      </c>
      <c r="J335" s="1">
        <v>162</v>
      </c>
      <c r="K335" s="1" t="s">
        <v>1895</v>
      </c>
      <c r="L335" s="1" t="s">
        <v>1896</v>
      </c>
      <c r="M335" s="1" t="s">
        <v>54</v>
      </c>
      <c r="N335" s="1" t="s">
        <v>25</v>
      </c>
      <c r="P335" s="1" t="s">
        <v>27</v>
      </c>
      <c r="Q335" s="1" t="s">
        <v>1897</v>
      </c>
      <c r="R335" s="1" t="b">
        <f>COUNTIF(  Papers!G:G, RAW_DATA!Q335 ) = 0</f>
        <v>0</v>
      </c>
      <c r="S335" s="1" t="b">
        <f t="shared" si="1"/>
        <v>0</v>
      </c>
    </row>
    <row r="336" spans="1:19" ht="15.75" customHeight="1">
      <c r="A336" s="1" t="s">
        <v>1898</v>
      </c>
      <c r="B336" s="1" t="s">
        <v>1899</v>
      </c>
      <c r="C336" s="1">
        <v>2022</v>
      </c>
      <c r="D336" s="1" t="s">
        <v>136</v>
      </c>
      <c r="E336" s="1">
        <v>64</v>
      </c>
      <c r="F336" s="1">
        <v>6</v>
      </c>
      <c r="H336" s="1">
        <v>825</v>
      </c>
      <c r="I336" s="1">
        <v>839</v>
      </c>
      <c r="J336" s="1">
        <v>134</v>
      </c>
      <c r="K336" s="1" t="s">
        <v>1900</v>
      </c>
      <c r="L336" s="1" t="s">
        <v>1901</v>
      </c>
      <c r="M336" s="1" t="s">
        <v>54</v>
      </c>
      <c r="N336" s="1" t="s">
        <v>25</v>
      </c>
      <c r="O336" s="1" t="s">
        <v>100</v>
      </c>
      <c r="P336" s="1" t="s">
        <v>27</v>
      </c>
      <c r="Q336" s="1" t="s">
        <v>1902</v>
      </c>
      <c r="R336" s="1" t="b">
        <f>COUNTIF(  Papers!G:G, RAW_DATA!Q336 ) = 0</f>
        <v>0</v>
      </c>
      <c r="S336" s="1" t="b">
        <f t="shared" si="1"/>
        <v>0</v>
      </c>
    </row>
    <row r="337" spans="1:19" ht="15.75" customHeight="1">
      <c r="A337" s="1" t="s">
        <v>1903</v>
      </c>
      <c r="B337" s="1" t="s">
        <v>1904</v>
      </c>
      <c r="C337" s="1">
        <v>2017</v>
      </c>
      <c r="D337" s="1" t="s">
        <v>1905</v>
      </c>
      <c r="E337" s="1" t="s">
        <v>1906</v>
      </c>
      <c r="H337" s="1">
        <v>13</v>
      </c>
      <c r="I337" s="1">
        <v>22</v>
      </c>
      <c r="J337" s="1">
        <v>135</v>
      </c>
      <c r="L337" s="1" t="s">
        <v>1907</v>
      </c>
      <c r="M337" s="1" t="s">
        <v>169</v>
      </c>
      <c r="N337" s="1" t="s">
        <v>25</v>
      </c>
      <c r="P337" s="1" t="s">
        <v>27</v>
      </c>
      <c r="Q337" s="1" t="s">
        <v>1908</v>
      </c>
      <c r="R337" s="1" t="b">
        <f>COUNTIF(  Papers!G:G, RAW_DATA!Q337 ) = 0</f>
        <v>0</v>
      </c>
      <c r="S337" s="1" t="b">
        <f t="shared" si="1"/>
        <v>0</v>
      </c>
    </row>
    <row r="338" spans="1:19" ht="15.75" customHeight="1">
      <c r="A338" s="1" t="s">
        <v>1909</v>
      </c>
      <c r="B338" s="1" t="s">
        <v>1910</v>
      </c>
      <c r="C338" s="1">
        <v>2016</v>
      </c>
      <c r="D338" s="1" t="s">
        <v>403</v>
      </c>
      <c r="E338" s="1">
        <v>8</v>
      </c>
      <c r="F338" s="1">
        <v>2</v>
      </c>
      <c r="H338" s="1">
        <v>193</v>
      </c>
      <c r="I338" s="1">
        <v>209</v>
      </c>
      <c r="J338" s="1">
        <v>187</v>
      </c>
      <c r="K338" s="1" t="s">
        <v>1911</v>
      </c>
      <c r="L338" s="1" t="s">
        <v>1912</v>
      </c>
      <c r="M338" s="1" t="s">
        <v>54</v>
      </c>
      <c r="N338" s="1" t="s">
        <v>25</v>
      </c>
      <c r="P338" s="1" t="s">
        <v>27</v>
      </c>
      <c r="Q338" s="1" t="s">
        <v>1913</v>
      </c>
      <c r="R338" s="1" t="b">
        <f>COUNTIF(  Papers!G:G, RAW_DATA!Q338 ) = 0</f>
        <v>0</v>
      </c>
      <c r="S338" s="1" t="b">
        <f t="shared" si="1"/>
        <v>0</v>
      </c>
    </row>
    <row r="339" spans="1:19" ht="15.75" customHeight="1">
      <c r="A339" s="1" t="s">
        <v>1914</v>
      </c>
      <c r="B339" s="1" t="s">
        <v>1915</v>
      </c>
      <c r="C339" s="1">
        <v>2023</v>
      </c>
      <c r="D339" s="1" t="s">
        <v>1916</v>
      </c>
      <c r="E339" s="1">
        <v>34</v>
      </c>
      <c r="F339" s="1">
        <v>3</v>
      </c>
      <c r="H339" s="1">
        <v>1296</v>
      </c>
      <c r="I339" s="1">
        <v>1311</v>
      </c>
      <c r="J339" s="1">
        <v>193</v>
      </c>
      <c r="K339" s="1" t="s">
        <v>1917</v>
      </c>
      <c r="L339" s="1" t="s">
        <v>1918</v>
      </c>
      <c r="M339" s="1" t="s">
        <v>54</v>
      </c>
      <c r="N339" s="1" t="s">
        <v>25</v>
      </c>
      <c r="P339" s="1" t="s">
        <v>27</v>
      </c>
      <c r="Q339" s="1" t="s">
        <v>1919</v>
      </c>
      <c r="R339" s="1" t="b">
        <f>COUNTIF(  Papers!G:G, RAW_DATA!Q339 ) = 0</f>
        <v>0</v>
      </c>
      <c r="S339" s="1" t="b">
        <f t="shared" si="1"/>
        <v>0</v>
      </c>
    </row>
    <row r="340" spans="1:19" ht="15.75" customHeight="1">
      <c r="A340" s="1" t="s">
        <v>1920</v>
      </c>
      <c r="B340" s="1" t="s">
        <v>1921</v>
      </c>
      <c r="C340" s="1">
        <v>2022</v>
      </c>
      <c r="D340" s="1" t="s">
        <v>90</v>
      </c>
      <c r="E340" s="1">
        <v>13</v>
      </c>
      <c r="G340" s="1">
        <v>883321</v>
      </c>
      <c r="J340" s="1">
        <v>186</v>
      </c>
      <c r="K340" s="1" t="s">
        <v>1922</v>
      </c>
      <c r="L340" s="1" t="s">
        <v>1923</v>
      </c>
      <c r="M340" s="1" t="s">
        <v>24</v>
      </c>
      <c r="N340" s="1" t="s">
        <v>25</v>
      </c>
      <c r="O340" s="1" t="s">
        <v>26</v>
      </c>
      <c r="P340" s="1" t="s">
        <v>27</v>
      </c>
      <c r="Q340" s="1" t="s">
        <v>1924</v>
      </c>
      <c r="R340" s="1" t="b">
        <f>COUNTIF(  Papers!G:G, RAW_DATA!Q340 ) = 0</f>
        <v>0</v>
      </c>
      <c r="S340" s="1" t="b">
        <f t="shared" si="1"/>
        <v>0</v>
      </c>
    </row>
    <row r="341" spans="1:19" ht="15.75" customHeight="1">
      <c r="A341" s="1" t="s">
        <v>1925</v>
      </c>
      <c r="B341" s="1" t="s">
        <v>1926</v>
      </c>
      <c r="C341" s="1">
        <v>2016</v>
      </c>
      <c r="D341" s="1" t="s">
        <v>530</v>
      </c>
      <c r="E341" s="1">
        <v>53</v>
      </c>
      <c r="H341" s="1">
        <v>389</v>
      </c>
      <c r="I341" s="1">
        <v>395</v>
      </c>
      <c r="J341" s="1">
        <v>138</v>
      </c>
      <c r="K341" s="1" t="s">
        <v>1927</v>
      </c>
      <c r="L341" s="1" t="s">
        <v>1928</v>
      </c>
      <c r="M341" s="1" t="s">
        <v>54</v>
      </c>
      <c r="N341" s="1" t="s">
        <v>25</v>
      </c>
      <c r="P341" s="1" t="s">
        <v>27</v>
      </c>
      <c r="Q341" s="1" t="s">
        <v>1929</v>
      </c>
      <c r="R341" s="1" t="b">
        <f>COUNTIF(  Papers!G:G, RAW_DATA!Q341 ) = 0</f>
        <v>0</v>
      </c>
      <c r="S341" s="1" t="b">
        <f t="shared" si="1"/>
        <v>0</v>
      </c>
    </row>
    <row r="342" spans="1:19" ht="15.75" customHeight="1">
      <c r="A342" s="1" t="s">
        <v>1930</v>
      </c>
      <c r="B342" s="1" t="s">
        <v>1931</v>
      </c>
      <c r="C342" s="1">
        <v>2023</v>
      </c>
      <c r="D342" s="1" t="s">
        <v>189</v>
      </c>
      <c r="E342" s="1">
        <v>139</v>
      </c>
      <c r="G342" s="1">
        <v>107539</v>
      </c>
      <c r="J342" s="1">
        <v>138</v>
      </c>
      <c r="K342" s="1" t="s">
        <v>1932</v>
      </c>
      <c r="L342" s="1" t="s">
        <v>1933</v>
      </c>
      <c r="M342" s="1" t="s">
        <v>54</v>
      </c>
      <c r="N342" s="1" t="s">
        <v>25</v>
      </c>
      <c r="O342" s="1" t="s">
        <v>100</v>
      </c>
      <c r="P342" s="1" t="s">
        <v>27</v>
      </c>
      <c r="Q342" s="1" t="s">
        <v>1934</v>
      </c>
      <c r="R342" s="1" t="b">
        <f>COUNTIF(  Papers!G:G, RAW_DATA!Q342 ) = 0</f>
        <v>0</v>
      </c>
      <c r="S342" s="1" t="b">
        <f t="shared" si="1"/>
        <v>0</v>
      </c>
    </row>
    <row r="343" spans="1:19" ht="15.75" customHeight="1">
      <c r="A343" s="1" t="s">
        <v>1935</v>
      </c>
      <c r="B343" s="1" t="s">
        <v>1936</v>
      </c>
      <c r="C343" s="1">
        <v>2024</v>
      </c>
      <c r="D343" s="1" t="s">
        <v>84</v>
      </c>
      <c r="E343" s="1">
        <v>66</v>
      </c>
      <c r="F343" s="1">
        <v>1</v>
      </c>
      <c r="H343" s="1">
        <v>126</v>
      </c>
      <c r="I343" s="1">
        <v>144</v>
      </c>
      <c r="J343" s="1">
        <v>133</v>
      </c>
      <c r="K343" s="1" t="s">
        <v>1937</v>
      </c>
      <c r="L343" s="1" t="s">
        <v>1938</v>
      </c>
      <c r="M343" s="1" t="s">
        <v>54</v>
      </c>
      <c r="N343" s="1" t="s">
        <v>25</v>
      </c>
      <c r="P343" s="1" t="s">
        <v>27</v>
      </c>
      <c r="Q343" s="1" t="s">
        <v>1939</v>
      </c>
      <c r="R343" s="1" t="b">
        <f>COUNTIF(  Papers!G:G, RAW_DATA!Q343 ) = 0</f>
        <v>0</v>
      </c>
      <c r="S343" s="1" t="b">
        <f t="shared" si="1"/>
        <v>0</v>
      </c>
    </row>
    <row r="344" spans="1:19" ht="15.75" customHeight="1">
      <c r="A344" s="1" t="s">
        <v>1940</v>
      </c>
      <c r="B344" s="1" t="s">
        <v>1941</v>
      </c>
      <c r="C344" s="1">
        <v>2016</v>
      </c>
      <c r="D344" s="1" t="s">
        <v>304</v>
      </c>
      <c r="E344" s="1">
        <v>38</v>
      </c>
      <c r="H344" s="1">
        <v>67</v>
      </c>
      <c r="I344" s="1">
        <v>82</v>
      </c>
      <c r="J344" s="1">
        <v>143</v>
      </c>
      <c r="K344" s="1" t="s">
        <v>1942</v>
      </c>
      <c r="L344" s="1" t="s">
        <v>1943</v>
      </c>
      <c r="M344" s="1" t="s">
        <v>54</v>
      </c>
      <c r="N344" s="1" t="s">
        <v>25</v>
      </c>
      <c r="P344" s="1" t="s">
        <v>27</v>
      </c>
      <c r="Q344" s="1" t="s">
        <v>1944</v>
      </c>
      <c r="R344" s="1" t="b">
        <f>COUNTIF(  Papers!G:G, RAW_DATA!Q344 ) = 0</f>
        <v>0</v>
      </c>
      <c r="S344" s="1" t="b">
        <f t="shared" si="1"/>
        <v>0</v>
      </c>
    </row>
    <row r="345" spans="1:19" ht="15.75" customHeight="1">
      <c r="A345" s="1" t="s">
        <v>1945</v>
      </c>
      <c r="B345" s="1" t="s">
        <v>1946</v>
      </c>
      <c r="C345" s="1">
        <v>2018</v>
      </c>
      <c r="D345" s="1" t="s">
        <v>1947</v>
      </c>
      <c r="E345" s="1">
        <v>45</v>
      </c>
      <c r="F345" s="1">
        <v>8</v>
      </c>
      <c r="H345" s="1">
        <v>1146</v>
      </c>
      <c r="I345" s="1">
        <v>1166</v>
      </c>
      <c r="J345" s="1">
        <v>157</v>
      </c>
      <c r="K345" s="1" t="s">
        <v>1948</v>
      </c>
      <c r="L345" s="1" t="s">
        <v>1949</v>
      </c>
      <c r="M345" s="1" t="s">
        <v>54</v>
      </c>
      <c r="N345" s="1" t="s">
        <v>25</v>
      </c>
      <c r="P345" s="1" t="s">
        <v>27</v>
      </c>
      <c r="Q345" s="1" t="s">
        <v>1950</v>
      </c>
      <c r="R345" s="1" t="b">
        <f>COUNTIF(  Papers!G:G, RAW_DATA!Q345 ) = 0</f>
        <v>0</v>
      </c>
      <c r="S345" s="1" t="b">
        <f t="shared" si="1"/>
        <v>0</v>
      </c>
    </row>
    <row r="346" spans="1:19" ht="15.75" customHeight="1">
      <c r="A346" s="1" t="s">
        <v>1951</v>
      </c>
      <c r="B346" s="1" t="s">
        <v>1952</v>
      </c>
      <c r="C346" s="1">
        <v>2022</v>
      </c>
      <c r="D346" s="1" t="s">
        <v>333</v>
      </c>
      <c r="E346" s="1">
        <v>178</v>
      </c>
      <c r="F346" s="1">
        <v>4</v>
      </c>
      <c r="H346" s="1">
        <v>1027</v>
      </c>
      <c r="I346" s="1">
        <v>1041</v>
      </c>
      <c r="J346" s="1">
        <v>149</v>
      </c>
      <c r="K346" s="1" t="s">
        <v>1953</v>
      </c>
      <c r="L346" s="1" t="s">
        <v>1954</v>
      </c>
      <c r="M346" s="1" t="s">
        <v>54</v>
      </c>
      <c r="N346" s="1" t="s">
        <v>25</v>
      </c>
      <c r="O346" s="1" t="s">
        <v>100</v>
      </c>
      <c r="P346" s="1" t="s">
        <v>27</v>
      </c>
      <c r="Q346" s="1" t="s">
        <v>1955</v>
      </c>
      <c r="R346" s="1" t="b">
        <f>COUNTIF(  Papers!G:G, RAW_DATA!Q346 ) = 0</f>
        <v>0</v>
      </c>
      <c r="S346" s="1" t="b">
        <f t="shared" si="1"/>
        <v>0</v>
      </c>
    </row>
    <row r="347" spans="1:19" ht="15.75" customHeight="1">
      <c r="A347" s="1" t="s">
        <v>1473</v>
      </c>
      <c r="B347" s="1" t="s">
        <v>1956</v>
      </c>
      <c r="C347" s="1">
        <v>2024</v>
      </c>
      <c r="D347" s="1" t="s">
        <v>1957</v>
      </c>
      <c r="E347" s="1">
        <v>333</v>
      </c>
      <c r="F347" s="3">
        <v>46056</v>
      </c>
      <c r="H347" s="1">
        <v>653</v>
      </c>
      <c r="I347" s="1">
        <v>687</v>
      </c>
      <c r="J347" s="1">
        <v>200</v>
      </c>
      <c r="K347" s="1" t="s">
        <v>1958</v>
      </c>
      <c r="L347" s="1" t="s">
        <v>1959</v>
      </c>
      <c r="M347" s="1" t="s">
        <v>54</v>
      </c>
      <c r="N347" s="1" t="s">
        <v>25</v>
      </c>
      <c r="O347" s="1" t="s">
        <v>100</v>
      </c>
      <c r="P347" s="1" t="s">
        <v>27</v>
      </c>
      <c r="Q347" s="1" t="s">
        <v>1960</v>
      </c>
      <c r="R347" s="1" t="b">
        <f>COUNTIF(  Papers!G:G, RAW_DATA!Q347 ) = 0</f>
        <v>0</v>
      </c>
      <c r="S347" s="1" t="b">
        <f t="shared" si="1"/>
        <v>0</v>
      </c>
    </row>
    <row r="348" spans="1:19" ht="15.75" customHeight="1">
      <c r="A348" s="1" t="s">
        <v>1961</v>
      </c>
      <c r="B348" s="1" t="s">
        <v>1962</v>
      </c>
      <c r="C348" s="1">
        <v>2021</v>
      </c>
      <c r="D348" s="1" t="s">
        <v>1963</v>
      </c>
      <c r="E348" s="1">
        <v>18</v>
      </c>
      <c r="F348" s="1">
        <v>5</v>
      </c>
      <c r="H348" s="1">
        <v>623</v>
      </c>
      <c r="I348" s="1">
        <v>642</v>
      </c>
      <c r="J348" s="1">
        <v>160</v>
      </c>
      <c r="K348" s="1" t="s">
        <v>1964</v>
      </c>
      <c r="L348" s="1" t="s">
        <v>1965</v>
      </c>
      <c r="M348" s="1" t="s">
        <v>54</v>
      </c>
      <c r="N348" s="1" t="s">
        <v>25</v>
      </c>
      <c r="O348" s="1" t="s">
        <v>55</v>
      </c>
      <c r="P348" s="1" t="s">
        <v>27</v>
      </c>
      <c r="Q348" s="1" t="s">
        <v>1966</v>
      </c>
      <c r="R348" s="1" t="b">
        <f>COUNTIF(  Papers!G:G, RAW_DATA!Q348 ) = 0</f>
        <v>0</v>
      </c>
      <c r="S348" s="1" t="b">
        <f t="shared" si="1"/>
        <v>0</v>
      </c>
    </row>
    <row r="349" spans="1:19" ht="15.75" customHeight="1">
      <c r="A349" s="1" t="s">
        <v>1967</v>
      </c>
      <c r="B349" s="1" t="s">
        <v>1968</v>
      </c>
      <c r="C349" s="1">
        <v>2016</v>
      </c>
      <c r="D349" s="1" t="s">
        <v>766</v>
      </c>
      <c r="E349" s="1">
        <v>25</v>
      </c>
      <c r="F349" s="1">
        <v>3</v>
      </c>
      <c r="H349" s="1">
        <v>274</v>
      </c>
      <c r="I349" s="1">
        <v>287</v>
      </c>
      <c r="J349" s="1">
        <v>204</v>
      </c>
      <c r="K349" s="1" t="s">
        <v>1969</v>
      </c>
      <c r="L349" s="1" t="s">
        <v>1970</v>
      </c>
      <c r="M349" s="1" t="s">
        <v>54</v>
      </c>
      <c r="N349" s="1" t="s">
        <v>25</v>
      </c>
      <c r="O349" s="1" t="s">
        <v>100</v>
      </c>
      <c r="P349" s="1" t="s">
        <v>27</v>
      </c>
      <c r="Q349" s="1" t="s">
        <v>1971</v>
      </c>
      <c r="R349" s="1" t="b">
        <f>COUNTIF(  Papers!G:G, RAW_DATA!Q349 ) = 0</f>
        <v>0</v>
      </c>
      <c r="S349" s="1" t="b">
        <f t="shared" si="1"/>
        <v>0</v>
      </c>
    </row>
    <row r="350" spans="1:19" ht="15.75" customHeight="1">
      <c r="A350" s="1" t="s">
        <v>1972</v>
      </c>
      <c r="B350" s="1" t="s">
        <v>1973</v>
      </c>
      <c r="C350" s="1">
        <v>2019</v>
      </c>
      <c r="D350" s="1" t="s">
        <v>1974</v>
      </c>
      <c r="E350" s="1">
        <v>27</v>
      </c>
      <c r="F350" s="1">
        <v>3</v>
      </c>
      <c r="H350" s="1">
        <v>217</v>
      </c>
      <c r="I350" s="1">
        <v>234</v>
      </c>
      <c r="J350" s="1">
        <v>164</v>
      </c>
      <c r="K350" s="1" t="s">
        <v>1975</v>
      </c>
      <c r="L350" s="1" t="s">
        <v>1976</v>
      </c>
      <c r="M350" s="1" t="s">
        <v>54</v>
      </c>
      <c r="N350" s="1" t="s">
        <v>25</v>
      </c>
      <c r="O350" s="1" t="s">
        <v>113</v>
      </c>
      <c r="P350" s="1" t="s">
        <v>27</v>
      </c>
      <c r="Q350" s="1" t="s">
        <v>1977</v>
      </c>
      <c r="R350" s="1" t="b">
        <f>COUNTIF(  Papers!G:G, RAW_DATA!Q350 ) = 0</f>
        <v>0</v>
      </c>
      <c r="S350" s="1" t="b">
        <f t="shared" si="1"/>
        <v>0</v>
      </c>
    </row>
    <row r="351" spans="1:19" ht="15.75" customHeight="1">
      <c r="A351" s="1" t="s">
        <v>1978</v>
      </c>
      <c r="B351" s="1" t="s">
        <v>1979</v>
      </c>
      <c r="C351" s="1">
        <v>2019</v>
      </c>
      <c r="D351" s="1" t="s">
        <v>212</v>
      </c>
      <c r="E351" s="1">
        <v>35</v>
      </c>
      <c r="F351" s="1">
        <v>11</v>
      </c>
      <c r="H351" s="1">
        <v>919</v>
      </c>
      <c r="I351" s="1">
        <v>931</v>
      </c>
      <c r="J351" s="1">
        <v>143</v>
      </c>
      <c r="K351" s="1" t="s">
        <v>1980</v>
      </c>
      <c r="L351" s="1" t="s">
        <v>1981</v>
      </c>
      <c r="M351" s="1" t="s">
        <v>54</v>
      </c>
      <c r="N351" s="1" t="s">
        <v>25</v>
      </c>
      <c r="P351" s="1" t="s">
        <v>27</v>
      </c>
      <c r="Q351" s="1" t="s">
        <v>1982</v>
      </c>
      <c r="R351" s="1" t="b">
        <f>COUNTIF(  Papers!G:G, RAW_DATA!Q351 ) = 0</f>
        <v>0</v>
      </c>
      <c r="S351" s="1" t="b">
        <f t="shared" si="1"/>
        <v>0</v>
      </c>
    </row>
    <row r="352" spans="1:19" ht="15.75" customHeight="1">
      <c r="A352" s="1" t="s">
        <v>1983</v>
      </c>
      <c r="B352" s="1" t="s">
        <v>1984</v>
      </c>
      <c r="C352" s="1">
        <v>2018</v>
      </c>
      <c r="D352" s="1" t="s">
        <v>443</v>
      </c>
      <c r="H352" s="1">
        <v>211</v>
      </c>
      <c r="I352" s="1">
        <v>223</v>
      </c>
      <c r="J352" s="1">
        <v>198</v>
      </c>
      <c r="K352" s="1" t="s">
        <v>1985</v>
      </c>
      <c r="L352" s="1" t="s">
        <v>1986</v>
      </c>
      <c r="M352" s="1" t="s">
        <v>169</v>
      </c>
      <c r="N352" s="1" t="s">
        <v>25</v>
      </c>
      <c r="P352" s="1" t="s">
        <v>27</v>
      </c>
      <c r="Q352" s="1" t="s">
        <v>1987</v>
      </c>
      <c r="R352" s="1" t="b">
        <f>COUNTIF(  Papers!G:G, RAW_DATA!Q352 ) = 0</f>
        <v>0</v>
      </c>
      <c r="S352" s="1" t="b">
        <f t="shared" si="1"/>
        <v>0</v>
      </c>
    </row>
    <row r="353" spans="1:19" ht="15.75" customHeight="1">
      <c r="A353" s="1" t="s">
        <v>1988</v>
      </c>
      <c r="B353" s="1" t="s">
        <v>1989</v>
      </c>
      <c r="C353" s="1">
        <v>2022</v>
      </c>
      <c r="D353" s="1" t="s">
        <v>1590</v>
      </c>
      <c r="E353" s="1">
        <v>3</v>
      </c>
      <c r="F353" s="1">
        <v>4</v>
      </c>
      <c r="G353" s="1">
        <v>100455</v>
      </c>
      <c r="J353" s="1">
        <v>162</v>
      </c>
      <c r="K353" s="1" t="s">
        <v>1990</v>
      </c>
      <c r="L353" s="1" t="s">
        <v>1991</v>
      </c>
      <c r="M353" s="1" t="s">
        <v>24</v>
      </c>
      <c r="N353" s="1" t="s">
        <v>25</v>
      </c>
      <c r="O353" s="1" t="s">
        <v>26</v>
      </c>
      <c r="P353" s="1" t="s">
        <v>27</v>
      </c>
      <c r="Q353" s="1" t="s">
        <v>1992</v>
      </c>
      <c r="R353" s="1" t="b">
        <f>COUNTIF(  Papers!G:G, RAW_DATA!Q353 ) = 0</f>
        <v>0</v>
      </c>
      <c r="S353" s="1" t="b">
        <f t="shared" si="1"/>
        <v>0</v>
      </c>
    </row>
    <row r="354" spans="1:19" ht="15.75" customHeight="1">
      <c r="A354" s="1" t="s">
        <v>1993</v>
      </c>
      <c r="B354" s="1" t="s">
        <v>1994</v>
      </c>
      <c r="C354" s="1">
        <v>2022</v>
      </c>
      <c r="D354" s="1" t="s">
        <v>1995</v>
      </c>
      <c r="E354" s="1">
        <v>24</v>
      </c>
      <c r="F354" s="1">
        <v>1</v>
      </c>
      <c r="G354" s="1">
        <v>4</v>
      </c>
      <c r="J354" s="1">
        <v>166</v>
      </c>
      <c r="K354" s="1" t="s">
        <v>1996</v>
      </c>
      <c r="L354" s="1" t="s">
        <v>1997</v>
      </c>
      <c r="M354" s="1" t="s">
        <v>54</v>
      </c>
      <c r="N354" s="1" t="s">
        <v>25</v>
      </c>
      <c r="O354" s="1" t="s">
        <v>100</v>
      </c>
      <c r="P354" s="1" t="s">
        <v>27</v>
      </c>
      <c r="Q354" s="1" t="s">
        <v>1998</v>
      </c>
      <c r="R354" s="1" t="b">
        <f>COUNTIF(  Papers!G:G, RAW_DATA!Q354 ) = 0</f>
        <v>0</v>
      </c>
      <c r="S354" s="1" t="b">
        <f t="shared" si="1"/>
        <v>0</v>
      </c>
    </row>
    <row r="355" spans="1:19" ht="15.75" customHeight="1">
      <c r="A355" s="1" t="s">
        <v>1999</v>
      </c>
      <c r="B355" s="1" t="s">
        <v>2000</v>
      </c>
      <c r="C355" s="1">
        <v>2019</v>
      </c>
      <c r="D355" s="1" t="s">
        <v>799</v>
      </c>
      <c r="E355" s="1">
        <v>126</v>
      </c>
      <c r="H355" s="1">
        <v>70</v>
      </c>
      <c r="I355" s="1">
        <v>84</v>
      </c>
      <c r="J355" s="1">
        <v>182</v>
      </c>
      <c r="K355" s="1" t="s">
        <v>2001</v>
      </c>
      <c r="L355" s="1" t="s">
        <v>2002</v>
      </c>
      <c r="M355" s="1" t="s">
        <v>54</v>
      </c>
      <c r="N355" s="1" t="s">
        <v>25</v>
      </c>
      <c r="P355" s="1" t="s">
        <v>27</v>
      </c>
      <c r="Q355" s="1" t="s">
        <v>2003</v>
      </c>
      <c r="R355" s="1" t="b">
        <f>COUNTIF(  Papers!G:G, RAW_DATA!Q355 ) = 0</f>
        <v>0</v>
      </c>
      <c r="S355" s="1" t="b">
        <f t="shared" si="1"/>
        <v>0</v>
      </c>
    </row>
    <row r="356" spans="1:19" ht="15.75" customHeight="1">
      <c r="A356" s="1" t="s">
        <v>2004</v>
      </c>
      <c r="B356" s="1" t="s">
        <v>2005</v>
      </c>
      <c r="C356" s="1">
        <v>2022</v>
      </c>
      <c r="D356" s="1" t="s">
        <v>2006</v>
      </c>
      <c r="E356" s="1">
        <v>164</v>
      </c>
      <c r="H356" s="1">
        <v>379</v>
      </c>
      <c r="I356" s="1">
        <v>393</v>
      </c>
      <c r="J356" s="1">
        <v>133</v>
      </c>
      <c r="K356" s="1" t="s">
        <v>2007</v>
      </c>
      <c r="L356" s="1" t="s">
        <v>2008</v>
      </c>
      <c r="M356" s="1" t="s">
        <v>54</v>
      </c>
      <c r="N356" s="1" t="s">
        <v>25</v>
      </c>
      <c r="O356" s="1" t="s">
        <v>55</v>
      </c>
      <c r="P356" s="1" t="s">
        <v>27</v>
      </c>
      <c r="Q356" s="1" t="s">
        <v>2009</v>
      </c>
      <c r="R356" s="1" t="b">
        <f>COUNTIF(  Papers!G:G, RAW_DATA!Q356 ) = 0</f>
        <v>0</v>
      </c>
      <c r="S356" s="1" t="b">
        <f t="shared" si="1"/>
        <v>0</v>
      </c>
    </row>
    <row r="357" spans="1:19" ht="15.75" customHeight="1">
      <c r="A357" s="1" t="s">
        <v>2010</v>
      </c>
      <c r="B357" s="1" t="s">
        <v>2011</v>
      </c>
      <c r="C357" s="1">
        <v>2023</v>
      </c>
      <c r="D357" s="1" t="s">
        <v>2012</v>
      </c>
      <c r="E357" s="1">
        <v>146</v>
      </c>
      <c r="G357" s="1">
        <v>103928</v>
      </c>
      <c r="J357" s="1">
        <v>138</v>
      </c>
      <c r="K357" s="1" t="s">
        <v>2013</v>
      </c>
      <c r="L357" s="1" t="s">
        <v>2014</v>
      </c>
      <c r="M357" s="1" t="s">
        <v>54</v>
      </c>
      <c r="N357" s="1" t="s">
        <v>25</v>
      </c>
      <c r="P357" s="1" t="s">
        <v>27</v>
      </c>
      <c r="Q357" s="1" t="s">
        <v>2015</v>
      </c>
      <c r="R357" s="1" t="b">
        <f>COUNTIF(  Papers!G:G, RAW_DATA!Q357 ) = 0</f>
        <v>0</v>
      </c>
      <c r="S357" s="1" t="b">
        <f t="shared" si="1"/>
        <v>0</v>
      </c>
    </row>
    <row r="358" spans="1:19" ht="15.75" customHeight="1">
      <c r="A358" s="1" t="s">
        <v>2016</v>
      </c>
      <c r="B358" s="1" t="s">
        <v>2017</v>
      </c>
      <c r="C358" s="1">
        <v>2023</v>
      </c>
      <c r="D358" s="1" t="s">
        <v>90</v>
      </c>
      <c r="E358" s="1">
        <v>14</v>
      </c>
      <c r="G358" s="1">
        <v>1191628</v>
      </c>
      <c r="J358" s="1">
        <v>186</v>
      </c>
      <c r="K358" s="1" t="s">
        <v>2018</v>
      </c>
      <c r="L358" s="1" t="s">
        <v>2019</v>
      </c>
      <c r="M358" s="1" t="s">
        <v>54</v>
      </c>
      <c r="N358" s="1" t="s">
        <v>25</v>
      </c>
      <c r="O358" s="1" t="s">
        <v>26</v>
      </c>
      <c r="P358" s="1" t="s">
        <v>27</v>
      </c>
      <c r="Q358" s="1" t="s">
        <v>2020</v>
      </c>
      <c r="R358" s="1" t="b">
        <f>COUNTIF(  Papers!G:G, RAW_DATA!Q358 ) = 0</f>
        <v>0</v>
      </c>
      <c r="S358" s="1" t="b">
        <f t="shared" si="1"/>
        <v>0</v>
      </c>
    </row>
    <row r="359" spans="1:19" ht="15.75" customHeight="1">
      <c r="A359" s="1" t="s">
        <v>2021</v>
      </c>
      <c r="B359" s="1" t="s">
        <v>2022</v>
      </c>
      <c r="C359" s="1">
        <v>2019</v>
      </c>
      <c r="D359" s="1" t="s">
        <v>2023</v>
      </c>
      <c r="E359" s="1">
        <v>31</v>
      </c>
      <c r="F359" s="1">
        <v>3</v>
      </c>
      <c r="H359" s="1">
        <v>317</v>
      </c>
      <c r="I359" s="1">
        <v>335</v>
      </c>
      <c r="J359" s="1">
        <v>206</v>
      </c>
      <c r="K359" s="1" t="s">
        <v>2024</v>
      </c>
      <c r="L359" s="1" t="s">
        <v>2025</v>
      </c>
      <c r="M359" s="1" t="s">
        <v>54</v>
      </c>
      <c r="N359" s="1" t="s">
        <v>25</v>
      </c>
      <c r="O359" s="1" t="s">
        <v>113</v>
      </c>
      <c r="P359" s="1" t="s">
        <v>27</v>
      </c>
      <c r="Q359" s="1" t="s">
        <v>2026</v>
      </c>
      <c r="R359" s="1" t="b">
        <f>COUNTIF(  Papers!G:G, RAW_DATA!Q359 ) = 0</f>
        <v>0</v>
      </c>
      <c r="S359" s="1" t="b">
        <f t="shared" si="1"/>
        <v>0</v>
      </c>
    </row>
    <row r="360" spans="1:19" ht="15.75" customHeight="1">
      <c r="A360" s="1" t="s">
        <v>2027</v>
      </c>
      <c r="B360" s="1" t="s">
        <v>2028</v>
      </c>
      <c r="C360" s="1">
        <v>2020</v>
      </c>
      <c r="D360" s="1" t="s">
        <v>247</v>
      </c>
      <c r="G360" s="1">
        <v>3376638</v>
      </c>
      <c r="J360" s="1">
        <v>163</v>
      </c>
      <c r="K360" s="1" t="s">
        <v>2029</v>
      </c>
      <c r="L360" s="1" t="s">
        <v>2030</v>
      </c>
      <c r="M360" s="1" t="s">
        <v>169</v>
      </c>
      <c r="N360" s="1" t="s">
        <v>25</v>
      </c>
      <c r="O360" s="1" t="s">
        <v>26</v>
      </c>
      <c r="P360" s="1" t="s">
        <v>27</v>
      </c>
      <c r="Q360" s="1" t="s">
        <v>2031</v>
      </c>
      <c r="R360" s="1" t="b">
        <f>COUNTIF(  Papers!G:G, RAW_DATA!Q360 ) = 0</f>
        <v>0</v>
      </c>
      <c r="S360" s="1" t="b">
        <f t="shared" si="1"/>
        <v>0</v>
      </c>
    </row>
    <row r="361" spans="1:19" ht="15.75" customHeight="1">
      <c r="A361" s="1" t="s">
        <v>2032</v>
      </c>
      <c r="B361" s="1" t="s">
        <v>2033</v>
      </c>
      <c r="C361" s="1">
        <v>2020</v>
      </c>
      <c r="D361" s="1" t="s">
        <v>2034</v>
      </c>
      <c r="E361" s="1">
        <v>39</v>
      </c>
      <c r="F361" s="1">
        <v>3</v>
      </c>
      <c r="H361" s="1">
        <v>713</v>
      </c>
      <c r="I361" s="1">
        <v>756</v>
      </c>
      <c r="J361" s="1">
        <v>182</v>
      </c>
      <c r="K361" s="1" t="s">
        <v>2035</v>
      </c>
      <c r="L361" s="1" t="s">
        <v>2036</v>
      </c>
      <c r="M361" s="1" t="s">
        <v>54</v>
      </c>
      <c r="N361" s="1" t="s">
        <v>25</v>
      </c>
      <c r="O361" s="1" t="s">
        <v>120</v>
      </c>
      <c r="P361" s="1" t="s">
        <v>27</v>
      </c>
      <c r="Q361" s="1" t="s">
        <v>2037</v>
      </c>
      <c r="R361" s="1" t="b">
        <f>COUNTIF(  Papers!G:G, RAW_DATA!Q361 ) = 0</f>
        <v>0</v>
      </c>
      <c r="S361" s="1" t="b">
        <f t="shared" si="1"/>
        <v>0</v>
      </c>
    </row>
    <row r="362" spans="1:19" ht="15.75" customHeight="1">
      <c r="A362" s="1" t="s">
        <v>2038</v>
      </c>
      <c r="B362" s="1" t="s">
        <v>2039</v>
      </c>
      <c r="C362" s="1">
        <v>2025</v>
      </c>
      <c r="D362" s="1" t="s">
        <v>2040</v>
      </c>
      <c r="E362" s="1">
        <v>34</v>
      </c>
      <c r="F362" s="1">
        <v>2</v>
      </c>
      <c r="G362" s="1">
        <v>101885</v>
      </c>
      <c r="J362" s="1">
        <v>143</v>
      </c>
      <c r="K362" s="1" t="s">
        <v>2041</v>
      </c>
      <c r="L362" s="1" t="s">
        <v>2042</v>
      </c>
      <c r="M362" s="1" t="s">
        <v>24</v>
      </c>
      <c r="N362" s="1" t="s">
        <v>25</v>
      </c>
      <c r="O362" s="1" t="s">
        <v>55</v>
      </c>
      <c r="P362" s="1" t="s">
        <v>27</v>
      </c>
      <c r="Q362" s="1" t="s">
        <v>2043</v>
      </c>
      <c r="R362" s="1" t="b">
        <f>COUNTIF(  Papers!G:G, RAW_DATA!Q362 ) = 0</f>
        <v>0</v>
      </c>
      <c r="S362" s="1" t="b">
        <f t="shared" si="1"/>
        <v>0</v>
      </c>
    </row>
    <row r="363" spans="1:19" ht="15.75" customHeight="1">
      <c r="A363" s="1" t="s">
        <v>2044</v>
      </c>
      <c r="B363" s="1" t="s">
        <v>2045</v>
      </c>
      <c r="C363" s="1">
        <v>2023</v>
      </c>
      <c r="D363" s="1" t="s">
        <v>2046</v>
      </c>
      <c r="E363" s="1">
        <v>2023</v>
      </c>
      <c r="G363" s="1">
        <v>4253331</v>
      </c>
      <c r="J363" s="1">
        <v>216</v>
      </c>
      <c r="K363" s="1" t="s">
        <v>2047</v>
      </c>
      <c r="L363" s="1" t="s">
        <v>2048</v>
      </c>
      <c r="M363" s="1" t="s">
        <v>54</v>
      </c>
      <c r="N363" s="1" t="s">
        <v>25</v>
      </c>
      <c r="O363" s="1" t="s">
        <v>55</v>
      </c>
      <c r="P363" s="1" t="s">
        <v>27</v>
      </c>
      <c r="Q363" s="1" t="s">
        <v>2049</v>
      </c>
      <c r="R363" s="1" t="b">
        <f>COUNTIF(  Papers!G:G, RAW_DATA!Q363 ) = 0</f>
        <v>0</v>
      </c>
      <c r="S363" s="1" t="b">
        <f t="shared" si="1"/>
        <v>0</v>
      </c>
    </row>
    <row r="364" spans="1:19" ht="15.75" customHeight="1">
      <c r="A364" s="1" t="s">
        <v>2050</v>
      </c>
      <c r="B364" s="1" t="s">
        <v>2051</v>
      </c>
      <c r="C364" s="1">
        <v>2022</v>
      </c>
      <c r="D364" s="1" t="s">
        <v>1568</v>
      </c>
      <c r="E364" s="1">
        <v>12</v>
      </c>
      <c r="F364" s="1">
        <v>1</v>
      </c>
      <c r="G364" s="1">
        <v>14952</v>
      </c>
      <c r="J364" s="1">
        <v>155</v>
      </c>
      <c r="K364" s="1" t="s">
        <v>2052</v>
      </c>
      <c r="L364" s="1" t="s">
        <v>2053</v>
      </c>
      <c r="M364" s="1" t="s">
        <v>54</v>
      </c>
      <c r="N364" s="1" t="s">
        <v>25</v>
      </c>
      <c r="O364" s="1" t="s">
        <v>26</v>
      </c>
      <c r="P364" s="1" t="s">
        <v>27</v>
      </c>
      <c r="Q364" s="1" t="s">
        <v>2054</v>
      </c>
      <c r="R364" s="1" t="b">
        <f>COUNTIF(  Papers!G:G, RAW_DATA!Q364 ) = 0</f>
        <v>0</v>
      </c>
      <c r="S364" s="1" t="b">
        <f t="shared" si="1"/>
        <v>0</v>
      </c>
    </row>
    <row r="365" spans="1:19" ht="15.75" customHeight="1">
      <c r="A365" s="1" t="s">
        <v>2055</v>
      </c>
      <c r="B365" s="1" t="s">
        <v>2056</v>
      </c>
      <c r="C365" s="1">
        <v>2023</v>
      </c>
      <c r="D365" s="1" t="s">
        <v>2057</v>
      </c>
      <c r="E365" s="1">
        <v>120</v>
      </c>
      <c r="G365" s="1">
        <v>105894</v>
      </c>
      <c r="J365" s="1">
        <v>194</v>
      </c>
      <c r="K365" s="1" t="s">
        <v>2058</v>
      </c>
      <c r="L365" s="1" t="s">
        <v>2059</v>
      </c>
      <c r="M365" s="1" t="s">
        <v>1148</v>
      </c>
      <c r="N365" s="1" t="s">
        <v>25</v>
      </c>
      <c r="P365" s="1" t="s">
        <v>27</v>
      </c>
      <c r="Q365" s="1" t="s">
        <v>2060</v>
      </c>
      <c r="R365" s="1" t="b">
        <f>COUNTIF(  Papers!G:G, RAW_DATA!Q365 ) = 0</f>
        <v>0</v>
      </c>
      <c r="S365" s="1" t="b">
        <f t="shared" si="1"/>
        <v>0</v>
      </c>
    </row>
    <row r="366" spans="1:19" ht="15.75" customHeight="1">
      <c r="A366" s="1" t="s">
        <v>2061</v>
      </c>
      <c r="B366" s="1" t="s">
        <v>2062</v>
      </c>
      <c r="C366" s="1">
        <v>2022</v>
      </c>
      <c r="D366" s="1" t="s">
        <v>995</v>
      </c>
      <c r="E366" s="1">
        <v>62</v>
      </c>
      <c r="H366" s="1">
        <v>28</v>
      </c>
      <c r="I366" s="1">
        <v>43</v>
      </c>
      <c r="J366" s="1">
        <v>200</v>
      </c>
      <c r="K366" s="1" t="s">
        <v>2063</v>
      </c>
      <c r="L366" s="1" t="s">
        <v>2064</v>
      </c>
      <c r="M366" s="1" t="s">
        <v>54</v>
      </c>
      <c r="N366" s="1" t="s">
        <v>25</v>
      </c>
      <c r="O366" s="1" t="s">
        <v>120</v>
      </c>
      <c r="P366" s="1" t="s">
        <v>27</v>
      </c>
      <c r="Q366" s="1" t="s">
        <v>2065</v>
      </c>
      <c r="R366" s="1" t="b">
        <f>COUNTIF(  Papers!G:G, RAW_DATA!Q366 ) = 0</f>
        <v>0</v>
      </c>
      <c r="S366" s="1" t="b">
        <f t="shared" si="1"/>
        <v>0</v>
      </c>
    </row>
    <row r="367" spans="1:19" ht="15.75" customHeight="1">
      <c r="A367" s="1" t="s">
        <v>2066</v>
      </c>
      <c r="B367" s="1" t="s">
        <v>2067</v>
      </c>
      <c r="C367" s="1">
        <v>2019</v>
      </c>
      <c r="D367" s="1" t="s">
        <v>782</v>
      </c>
      <c r="E367" s="1">
        <v>131</v>
      </c>
      <c r="H367" s="1">
        <v>99</v>
      </c>
      <c r="I367" s="1">
        <v>107</v>
      </c>
      <c r="J367" s="1">
        <v>178</v>
      </c>
      <c r="K367" s="1" t="s">
        <v>2068</v>
      </c>
      <c r="L367" s="1" t="s">
        <v>2069</v>
      </c>
      <c r="M367" s="1" t="s">
        <v>54</v>
      </c>
      <c r="N367" s="1" t="s">
        <v>25</v>
      </c>
      <c r="O367" s="1" t="s">
        <v>100</v>
      </c>
      <c r="P367" s="1" t="s">
        <v>27</v>
      </c>
      <c r="Q367" s="1" t="s">
        <v>2070</v>
      </c>
      <c r="R367" s="1" t="b">
        <f>COUNTIF(  Papers!G:G, RAW_DATA!Q367 ) = 0</f>
        <v>0</v>
      </c>
      <c r="S367" s="1" t="b">
        <f t="shared" si="1"/>
        <v>0</v>
      </c>
    </row>
    <row r="368" spans="1:19" ht="15.75" customHeight="1">
      <c r="A368" s="1" t="s">
        <v>2071</v>
      </c>
      <c r="B368" s="1" t="s">
        <v>2072</v>
      </c>
      <c r="C368" s="1">
        <v>2022</v>
      </c>
      <c r="D368" s="1" t="s">
        <v>2073</v>
      </c>
      <c r="E368" s="1">
        <v>130</v>
      </c>
      <c r="F368" s="1">
        <v>10</v>
      </c>
      <c r="H368" s="1">
        <v>2425</v>
      </c>
      <c r="I368" s="1">
        <v>2452</v>
      </c>
      <c r="J368" s="1">
        <v>179</v>
      </c>
      <c r="K368" s="1" t="s">
        <v>2074</v>
      </c>
      <c r="L368" s="1" t="s">
        <v>2075</v>
      </c>
      <c r="M368" s="1" t="s">
        <v>54</v>
      </c>
      <c r="N368" s="1" t="s">
        <v>25</v>
      </c>
      <c r="O368" s="1" t="s">
        <v>2076</v>
      </c>
      <c r="P368" s="1" t="s">
        <v>27</v>
      </c>
      <c r="Q368" s="1" t="s">
        <v>2077</v>
      </c>
      <c r="R368" s="1" t="b">
        <f>COUNTIF(  Papers!G:G, RAW_DATA!Q368 ) = 0</f>
        <v>0</v>
      </c>
      <c r="S368" s="1" t="b">
        <f t="shared" si="1"/>
        <v>0</v>
      </c>
    </row>
    <row r="369" spans="1:19" ht="15.75" customHeight="1">
      <c r="A369" s="1" t="s">
        <v>2078</v>
      </c>
      <c r="B369" s="1" t="s">
        <v>2079</v>
      </c>
      <c r="C369" s="1">
        <v>2023</v>
      </c>
      <c r="D369" s="1" t="s">
        <v>2080</v>
      </c>
      <c r="E369" s="1">
        <v>3</v>
      </c>
      <c r="F369" s="1">
        <v>3</v>
      </c>
      <c r="H369" s="1">
        <v>161</v>
      </c>
      <c r="I369" s="1">
        <v>188</v>
      </c>
      <c r="J369" s="1">
        <v>191</v>
      </c>
      <c r="K369" s="1" t="s">
        <v>2081</v>
      </c>
      <c r="L369" s="1" t="s">
        <v>2082</v>
      </c>
      <c r="M369" s="1" t="s">
        <v>24</v>
      </c>
      <c r="N369" s="1" t="s">
        <v>25</v>
      </c>
      <c r="O369" s="1" t="s">
        <v>26</v>
      </c>
      <c r="P369" s="1" t="s">
        <v>27</v>
      </c>
      <c r="Q369" s="1" t="s">
        <v>2083</v>
      </c>
      <c r="R369" s="1" t="b">
        <f>COUNTIF(  Papers!G:G, RAW_DATA!Q369 ) = 0</f>
        <v>0</v>
      </c>
      <c r="S369" s="1" t="b">
        <f t="shared" si="1"/>
        <v>0</v>
      </c>
    </row>
    <row r="370" spans="1:19" ht="15.75" customHeight="1">
      <c r="A370" s="1" t="s">
        <v>2084</v>
      </c>
      <c r="B370" s="1" t="s">
        <v>2085</v>
      </c>
      <c r="C370" s="1">
        <v>2021</v>
      </c>
      <c r="D370" s="1" t="s">
        <v>455</v>
      </c>
      <c r="E370" s="1">
        <v>38</v>
      </c>
      <c r="F370" s="1">
        <v>12</v>
      </c>
      <c r="H370" s="1">
        <v>2339</v>
      </c>
      <c r="I370" s="1">
        <v>2356</v>
      </c>
      <c r="J370" s="1">
        <v>195</v>
      </c>
      <c r="K370" s="1" t="s">
        <v>2086</v>
      </c>
      <c r="L370" s="1" t="s">
        <v>2087</v>
      </c>
      <c r="M370" s="1" t="s">
        <v>54</v>
      </c>
      <c r="N370" s="1" t="s">
        <v>25</v>
      </c>
      <c r="P370" s="1" t="s">
        <v>27</v>
      </c>
      <c r="Q370" s="1" t="s">
        <v>2088</v>
      </c>
      <c r="R370" s="1" t="b">
        <f>COUNTIF(  Papers!G:G, RAW_DATA!Q370 ) = 0</f>
        <v>0</v>
      </c>
      <c r="S370" s="1" t="b">
        <f t="shared" si="1"/>
        <v>0</v>
      </c>
    </row>
    <row r="371" spans="1:19" ht="15.75" customHeight="1">
      <c r="A371" s="1" t="s">
        <v>2089</v>
      </c>
      <c r="B371" s="1" t="s">
        <v>2090</v>
      </c>
      <c r="C371" s="1">
        <v>2024</v>
      </c>
      <c r="D371" s="1" t="s">
        <v>2091</v>
      </c>
      <c r="E371" s="1">
        <v>62</v>
      </c>
      <c r="F371" s="1">
        <v>15</v>
      </c>
      <c r="H371" s="1">
        <v>5417</v>
      </c>
      <c r="I371" s="1">
        <v>5456</v>
      </c>
      <c r="J371" s="1">
        <v>188</v>
      </c>
      <c r="K371" s="1" t="s">
        <v>2092</v>
      </c>
      <c r="L371" s="1" t="s">
        <v>2093</v>
      </c>
      <c r="M371" s="1" t="s">
        <v>54</v>
      </c>
      <c r="N371" s="1" t="s">
        <v>25</v>
      </c>
      <c r="O371" s="1" t="s">
        <v>113</v>
      </c>
      <c r="P371" s="1" t="s">
        <v>27</v>
      </c>
      <c r="Q371" s="1" t="s">
        <v>2094</v>
      </c>
      <c r="R371" s="1" t="b">
        <f>COUNTIF(  Papers!G:G, RAW_DATA!Q371 ) = 0</f>
        <v>0</v>
      </c>
      <c r="S371" s="1" t="b">
        <f t="shared" si="1"/>
        <v>0</v>
      </c>
    </row>
    <row r="372" spans="1:19" ht="15.75" customHeight="1">
      <c r="A372" s="1" t="s">
        <v>2095</v>
      </c>
      <c r="B372" s="1" t="s">
        <v>2096</v>
      </c>
      <c r="C372" s="1">
        <v>2019</v>
      </c>
      <c r="D372" s="1" t="s">
        <v>2097</v>
      </c>
      <c r="E372" s="1">
        <v>51</v>
      </c>
      <c r="G372" s="1">
        <v>101751</v>
      </c>
      <c r="J372" s="1">
        <v>150</v>
      </c>
      <c r="K372" s="1" t="s">
        <v>2098</v>
      </c>
      <c r="L372" s="1" t="s">
        <v>2099</v>
      </c>
      <c r="M372" s="1" t="s">
        <v>54</v>
      </c>
      <c r="N372" s="1" t="s">
        <v>25</v>
      </c>
      <c r="O372" s="1" t="s">
        <v>113</v>
      </c>
      <c r="P372" s="1" t="s">
        <v>27</v>
      </c>
      <c r="Q372" s="1" t="s">
        <v>2100</v>
      </c>
      <c r="R372" s="1" t="b">
        <f>COUNTIF(  Papers!G:G, RAW_DATA!Q372 ) = 0</f>
        <v>0</v>
      </c>
      <c r="S372" s="1" t="b">
        <f t="shared" si="1"/>
        <v>0</v>
      </c>
    </row>
    <row r="373" spans="1:19" ht="15.75" customHeight="1">
      <c r="A373" s="1" t="s">
        <v>2101</v>
      </c>
      <c r="B373" s="1" t="s">
        <v>2102</v>
      </c>
      <c r="C373" s="1">
        <v>2018</v>
      </c>
      <c r="D373" s="1" t="s">
        <v>304</v>
      </c>
      <c r="E373" s="1">
        <v>55</v>
      </c>
      <c r="H373" s="1">
        <v>90</v>
      </c>
      <c r="I373" s="1">
        <v>100</v>
      </c>
      <c r="J373" s="1">
        <v>214</v>
      </c>
      <c r="K373" s="1" t="s">
        <v>2103</v>
      </c>
      <c r="L373" s="1" t="s">
        <v>2104</v>
      </c>
      <c r="M373" s="1" t="s">
        <v>54</v>
      </c>
      <c r="N373" s="1" t="s">
        <v>25</v>
      </c>
      <c r="P373" s="1" t="s">
        <v>27</v>
      </c>
      <c r="Q373" s="1" t="s">
        <v>2105</v>
      </c>
      <c r="R373" s="1" t="b">
        <f>COUNTIF(  Papers!G:G, RAW_DATA!Q373 ) = 0</f>
        <v>0</v>
      </c>
      <c r="S373" s="1" t="b">
        <f t="shared" si="1"/>
        <v>0</v>
      </c>
    </row>
    <row r="374" spans="1:19" ht="15.75" customHeight="1">
      <c r="A374" s="1" t="s">
        <v>2106</v>
      </c>
      <c r="B374" s="1" t="s">
        <v>2107</v>
      </c>
      <c r="C374" s="1">
        <v>2023</v>
      </c>
      <c r="D374" s="1" t="s">
        <v>2108</v>
      </c>
      <c r="E374" s="1">
        <v>4</v>
      </c>
      <c r="F374" s="1">
        <v>3</v>
      </c>
      <c r="H374" s="1">
        <v>652</v>
      </c>
      <c r="I374" s="1">
        <v>666</v>
      </c>
      <c r="J374" s="1">
        <v>200</v>
      </c>
      <c r="K374" s="1" t="s">
        <v>2109</v>
      </c>
      <c r="L374" s="1" t="s">
        <v>2110</v>
      </c>
      <c r="M374" s="1" t="s">
        <v>24</v>
      </c>
      <c r="N374" s="1" t="s">
        <v>25</v>
      </c>
      <c r="O374" s="1" t="s">
        <v>26</v>
      </c>
      <c r="P374" s="1" t="s">
        <v>27</v>
      </c>
      <c r="Q374" s="1" t="s">
        <v>2111</v>
      </c>
      <c r="R374" s="1" t="b">
        <f>COUNTIF(  Papers!G:G, RAW_DATA!Q374 ) = 0</f>
        <v>0</v>
      </c>
      <c r="S374" s="1" t="b">
        <f t="shared" si="1"/>
        <v>0</v>
      </c>
    </row>
    <row r="375" spans="1:19" ht="15.75" customHeight="1">
      <c r="A375" s="1" t="s">
        <v>2112</v>
      </c>
      <c r="B375" s="1" t="s">
        <v>2113</v>
      </c>
      <c r="C375" s="1">
        <v>2021</v>
      </c>
      <c r="D375" s="1" t="s">
        <v>2114</v>
      </c>
      <c r="E375" s="1">
        <v>36</v>
      </c>
      <c r="F375" s="1">
        <v>1</v>
      </c>
      <c r="H375" s="1">
        <v>217</v>
      </c>
      <c r="I375" s="1">
        <v>238</v>
      </c>
      <c r="J375" s="1">
        <v>148</v>
      </c>
      <c r="K375" s="1" t="s">
        <v>2115</v>
      </c>
      <c r="L375" s="1" t="s">
        <v>2116</v>
      </c>
      <c r="M375" s="1" t="s">
        <v>54</v>
      </c>
      <c r="N375" s="1" t="s">
        <v>25</v>
      </c>
      <c r="O375" s="1" t="s">
        <v>113</v>
      </c>
      <c r="P375" s="1" t="s">
        <v>27</v>
      </c>
      <c r="Q375" s="1" t="s">
        <v>2117</v>
      </c>
      <c r="R375" s="1" t="b">
        <f>COUNTIF(  Papers!G:G, RAW_DATA!Q375 ) = 0</f>
        <v>0</v>
      </c>
      <c r="S375" s="1" t="b">
        <f t="shared" si="1"/>
        <v>0</v>
      </c>
    </row>
    <row r="376" spans="1:19" ht="15.75" customHeight="1">
      <c r="A376" s="1" t="s">
        <v>2118</v>
      </c>
      <c r="B376" s="1" t="s">
        <v>2119</v>
      </c>
      <c r="C376" s="1">
        <v>2017</v>
      </c>
      <c r="D376" s="1" t="s">
        <v>2120</v>
      </c>
      <c r="E376" s="1">
        <v>44</v>
      </c>
      <c r="H376" s="1">
        <v>342</v>
      </c>
      <c r="I376" s="1">
        <v>354</v>
      </c>
      <c r="J376" s="1">
        <v>142</v>
      </c>
      <c r="K376" s="1" t="s">
        <v>2121</v>
      </c>
      <c r="L376" s="1" t="s">
        <v>2122</v>
      </c>
      <c r="M376" s="1" t="s">
        <v>24</v>
      </c>
      <c r="N376" s="1" t="s">
        <v>25</v>
      </c>
      <c r="O376" s="1" t="s">
        <v>113</v>
      </c>
      <c r="P376" s="1" t="s">
        <v>27</v>
      </c>
      <c r="Q376" s="1" t="s">
        <v>2123</v>
      </c>
      <c r="R376" s="1" t="b">
        <f>COUNTIF(  Papers!G:G, RAW_DATA!Q376 ) = 0</f>
        <v>0</v>
      </c>
      <c r="S376" s="1" t="b">
        <f t="shared" si="1"/>
        <v>0</v>
      </c>
    </row>
    <row r="377" spans="1:19" ht="15.75" customHeight="1">
      <c r="A377" s="1" t="s">
        <v>2124</v>
      </c>
      <c r="B377" s="1" t="s">
        <v>2125</v>
      </c>
      <c r="C377" s="1">
        <v>2023</v>
      </c>
      <c r="D377" s="1" t="s">
        <v>1530</v>
      </c>
      <c r="E377" s="1">
        <v>40</v>
      </c>
      <c r="F377" s="1">
        <v>2</v>
      </c>
      <c r="H377" s="1">
        <v>307</v>
      </c>
      <c r="I377" s="1">
        <v>337</v>
      </c>
      <c r="J377" s="1">
        <v>151</v>
      </c>
      <c r="K377" s="1" t="s">
        <v>2126</v>
      </c>
      <c r="L377" s="1" t="s">
        <v>2127</v>
      </c>
      <c r="M377" s="1" t="s">
        <v>54</v>
      </c>
      <c r="N377" s="1" t="s">
        <v>25</v>
      </c>
      <c r="P377" s="1" t="s">
        <v>27</v>
      </c>
      <c r="Q377" s="1" t="s">
        <v>2128</v>
      </c>
      <c r="R377" s="1" t="b">
        <f>COUNTIF(  Papers!G:G, RAW_DATA!Q377 ) = 0</f>
        <v>0</v>
      </c>
      <c r="S377" s="1" t="b">
        <f t="shared" si="1"/>
        <v>0</v>
      </c>
    </row>
    <row r="378" spans="1:19" ht="15.75" customHeight="1">
      <c r="A378" s="1" t="s">
        <v>2129</v>
      </c>
      <c r="B378" s="1" t="s">
        <v>2130</v>
      </c>
      <c r="C378" s="1">
        <v>2019</v>
      </c>
      <c r="D378" s="1" t="s">
        <v>212</v>
      </c>
      <c r="E378" s="1">
        <v>35</v>
      </c>
      <c r="F378" s="1">
        <v>19</v>
      </c>
      <c r="H378" s="1">
        <v>1769</v>
      </c>
      <c r="I378" s="1">
        <v>1780</v>
      </c>
      <c r="J378" s="1">
        <v>205</v>
      </c>
      <c r="K378" s="1" t="s">
        <v>2131</v>
      </c>
      <c r="L378" s="1" t="s">
        <v>2132</v>
      </c>
      <c r="M378" s="1" t="s">
        <v>54</v>
      </c>
      <c r="N378" s="1" t="s">
        <v>25</v>
      </c>
      <c r="O378" s="1" t="s">
        <v>113</v>
      </c>
      <c r="P378" s="1" t="s">
        <v>27</v>
      </c>
      <c r="Q378" s="1" t="s">
        <v>2133</v>
      </c>
      <c r="R378" s="1" t="b">
        <f>COUNTIF(  Papers!G:G, RAW_DATA!Q378 ) = 0</f>
        <v>0</v>
      </c>
      <c r="S378" s="1" t="b">
        <f t="shared" si="1"/>
        <v>0</v>
      </c>
    </row>
    <row r="379" spans="1:19" ht="15.75" customHeight="1">
      <c r="A379" s="1" t="s">
        <v>2134</v>
      </c>
      <c r="B379" s="1" t="s">
        <v>2135</v>
      </c>
      <c r="C379" s="1">
        <v>2023</v>
      </c>
      <c r="D379" s="1" t="s">
        <v>247</v>
      </c>
      <c r="G379" s="1">
        <v>250</v>
      </c>
      <c r="J379" s="1">
        <v>153</v>
      </c>
      <c r="K379" s="1" t="s">
        <v>2136</v>
      </c>
      <c r="L379" s="1" t="s">
        <v>2137</v>
      </c>
      <c r="M379" s="1" t="s">
        <v>169</v>
      </c>
      <c r="N379" s="1" t="s">
        <v>25</v>
      </c>
      <c r="O379" s="1" t="s">
        <v>41</v>
      </c>
      <c r="P379" s="1" t="s">
        <v>27</v>
      </c>
      <c r="Q379" s="1" t="s">
        <v>2138</v>
      </c>
      <c r="R379" s="1" t="b">
        <f>COUNTIF(  Papers!G:G, RAW_DATA!Q379 ) = 0</f>
        <v>0</v>
      </c>
      <c r="S379" s="1" t="b">
        <f t="shared" si="1"/>
        <v>0</v>
      </c>
    </row>
    <row r="380" spans="1:19" ht="15.75" customHeight="1">
      <c r="A380" s="1" t="s">
        <v>2139</v>
      </c>
      <c r="B380" s="1" t="s">
        <v>2140</v>
      </c>
      <c r="C380" s="1">
        <v>2018</v>
      </c>
      <c r="D380" s="1" t="s">
        <v>799</v>
      </c>
      <c r="E380" s="1">
        <v>113</v>
      </c>
      <c r="H380" s="1">
        <v>25</v>
      </c>
      <c r="I380" s="1">
        <v>37</v>
      </c>
      <c r="J380" s="1">
        <v>104</v>
      </c>
      <c r="K380" s="1" t="s">
        <v>2141</v>
      </c>
      <c r="L380" s="1" t="s">
        <v>2142</v>
      </c>
      <c r="M380" s="1" t="s">
        <v>54</v>
      </c>
      <c r="N380" s="1" t="s">
        <v>25</v>
      </c>
      <c r="P380" s="1" t="s">
        <v>27</v>
      </c>
      <c r="Q380" s="1" t="s">
        <v>2143</v>
      </c>
      <c r="R380" s="1" t="b">
        <f>COUNTIF(  Papers!G:G, RAW_DATA!Q380 ) = 0</f>
        <v>0</v>
      </c>
      <c r="S380" s="1" t="b">
        <f t="shared" si="1"/>
        <v>0</v>
      </c>
    </row>
    <row r="381" spans="1:19" ht="15.75" customHeight="1">
      <c r="A381" s="1" t="s">
        <v>2144</v>
      </c>
      <c r="B381" s="1" t="s">
        <v>2145</v>
      </c>
      <c r="C381" s="1">
        <v>2017</v>
      </c>
      <c r="D381" s="1" t="s">
        <v>2146</v>
      </c>
      <c r="E381" s="1">
        <v>122</v>
      </c>
      <c r="H381" s="1">
        <v>75</v>
      </c>
      <c r="I381" s="1">
        <v>84</v>
      </c>
      <c r="J381" s="1">
        <v>122</v>
      </c>
      <c r="K381" s="1" t="s">
        <v>2147</v>
      </c>
      <c r="L381" s="1" t="s">
        <v>2148</v>
      </c>
      <c r="M381" s="1" t="s">
        <v>54</v>
      </c>
      <c r="N381" s="1" t="s">
        <v>25</v>
      </c>
      <c r="P381" s="1" t="s">
        <v>27</v>
      </c>
      <c r="Q381" s="1" t="s">
        <v>2149</v>
      </c>
      <c r="R381" s="1" t="b">
        <f>COUNTIF(  Papers!G:G, RAW_DATA!Q381 ) = 0</f>
        <v>0</v>
      </c>
      <c r="S381" s="1" t="b">
        <f t="shared" si="1"/>
        <v>0</v>
      </c>
    </row>
    <row r="382" spans="1:19" ht="15.75" customHeight="1">
      <c r="A382" s="1" t="s">
        <v>2150</v>
      </c>
      <c r="B382" s="1" t="s">
        <v>2151</v>
      </c>
      <c r="C382" s="1">
        <v>2021</v>
      </c>
      <c r="D382" s="1" t="s">
        <v>844</v>
      </c>
      <c r="E382" s="1">
        <v>67</v>
      </c>
      <c r="G382" s="1">
        <v>101780</v>
      </c>
      <c r="J382" s="1">
        <v>120</v>
      </c>
      <c r="K382" s="1" t="s">
        <v>2152</v>
      </c>
      <c r="L382" s="1" t="s">
        <v>2153</v>
      </c>
      <c r="M382" s="1" t="s">
        <v>54</v>
      </c>
      <c r="N382" s="1" t="s">
        <v>25</v>
      </c>
      <c r="O382" s="1" t="s">
        <v>100</v>
      </c>
      <c r="P382" s="1" t="s">
        <v>27</v>
      </c>
      <c r="Q382" s="1" t="s">
        <v>2154</v>
      </c>
      <c r="R382" s="1" t="b">
        <f>COUNTIF(  Papers!G:G, RAW_DATA!Q382 ) = 0</f>
        <v>0</v>
      </c>
      <c r="S382" s="1" t="b">
        <f t="shared" si="1"/>
        <v>0</v>
      </c>
    </row>
    <row r="383" spans="1:19" ht="15.75" customHeight="1">
      <c r="A383" s="1" t="s">
        <v>2155</v>
      </c>
      <c r="B383" s="1" t="s">
        <v>2156</v>
      </c>
      <c r="C383" s="1">
        <v>2023</v>
      </c>
      <c r="D383" s="1" t="s">
        <v>2157</v>
      </c>
      <c r="E383" s="1">
        <v>33</v>
      </c>
      <c r="F383" s="1">
        <v>2</v>
      </c>
      <c r="H383" s="1">
        <v>232</v>
      </c>
      <c r="I383" s="1">
        <v>267</v>
      </c>
      <c r="J383" s="1">
        <v>103</v>
      </c>
      <c r="K383" s="1" t="s">
        <v>2158</v>
      </c>
      <c r="L383" s="1" t="s">
        <v>2159</v>
      </c>
      <c r="M383" s="1" t="s">
        <v>54</v>
      </c>
      <c r="N383" s="1" t="s">
        <v>25</v>
      </c>
      <c r="P383" s="1" t="s">
        <v>27</v>
      </c>
      <c r="Q383" s="1" t="s">
        <v>2160</v>
      </c>
      <c r="R383" s="1" t="b">
        <f>COUNTIF(  Papers!G:G, RAW_DATA!Q383 ) = 0</f>
        <v>0</v>
      </c>
      <c r="S383" s="1" t="b">
        <f t="shared" si="1"/>
        <v>0</v>
      </c>
    </row>
    <row r="384" spans="1:19" ht="15.75" customHeight="1">
      <c r="A384" s="1" t="s">
        <v>2161</v>
      </c>
      <c r="B384" s="1" t="s">
        <v>2162</v>
      </c>
      <c r="C384" s="1">
        <v>2023</v>
      </c>
      <c r="D384" s="1" t="s">
        <v>927</v>
      </c>
      <c r="E384" s="1">
        <v>13</v>
      </c>
      <c r="F384" s="1">
        <v>18</v>
      </c>
      <c r="G384" s="1">
        <v>10258</v>
      </c>
      <c r="J384" s="1">
        <v>128</v>
      </c>
      <c r="K384" s="1" t="s">
        <v>2163</v>
      </c>
      <c r="L384" s="1" t="s">
        <v>2164</v>
      </c>
      <c r="M384" s="1" t="s">
        <v>24</v>
      </c>
      <c r="N384" s="1" t="s">
        <v>25</v>
      </c>
      <c r="O384" s="1" t="s">
        <v>26</v>
      </c>
      <c r="P384" s="1" t="s">
        <v>27</v>
      </c>
      <c r="Q384" s="1" t="s">
        <v>2165</v>
      </c>
      <c r="R384" s="1" t="b">
        <f>COUNTIF(  Papers!G:G, RAW_DATA!Q384 ) = 0</f>
        <v>0</v>
      </c>
      <c r="S384" s="1" t="b">
        <f t="shared" si="1"/>
        <v>0</v>
      </c>
    </row>
    <row r="385" spans="1:19" ht="15.75" customHeight="1">
      <c r="A385" s="1" t="s">
        <v>2166</v>
      </c>
      <c r="B385" s="1" t="s">
        <v>2167</v>
      </c>
      <c r="C385" s="1">
        <v>2021</v>
      </c>
      <c r="D385" s="1" t="s">
        <v>2168</v>
      </c>
      <c r="E385" s="1">
        <v>37</v>
      </c>
      <c r="G385" s="1">
        <v>100775</v>
      </c>
      <c r="J385" s="1">
        <v>126</v>
      </c>
      <c r="K385" s="1" t="s">
        <v>2169</v>
      </c>
      <c r="L385" s="1" t="s">
        <v>2170</v>
      </c>
      <c r="M385" s="1" t="s">
        <v>54</v>
      </c>
      <c r="N385" s="1" t="s">
        <v>25</v>
      </c>
      <c r="P385" s="1" t="s">
        <v>27</v>
      </c>
      <c r="Q385" s="1" t="s">
        <v>2171</v>
      </c>
      <c r="R385" s="1" t="b">
        <f>COUNTIF(  Papers!G:G, RAW_DATA!Q385 ) = 0</f>
        <v>0</v>
      </c>
      <c r="S385" s="1" t="b">
        <f t="shared" si="1"/>
        <v>0</v>
      </c>
    </row>
    <row r="386" spans="1:19" ht="15.75" customHeight="1">
      <c r="A386" s="1" t="s">
        <v>2172</v>
      </c>
      <c r="B386" s="1" t="s">
        <v>2173</v>
      </c>
      <c r="C386" s="1">
        <v>2022</v>
      </c>
      <c r="D386" s="1" t="s">
        <v>873</v>
      </c>
      <c r="E386" s="1">
        <v>66</v>
      </c>
      <c r="G386" s="1">
        <v>102519</v>
      </c>
      <c r="J386" s="1">
        <v>113</v>
      </c>
      <c r="K386" s="1" t="s">
        <v>2174</v>
      </c>
      <c r="L386" s="1" t="s">
        <v>2175</v>
      </c>
      <c r="M386" s="1" t="s">
        <v>54</v>
      </c>
      <c r="N386" s="1" t="s">
        <v>25</v>
      </c>
      <c r="P386" s="1" t="s">
        <v>27</v>
      </c>
      <c r="Q386" s="1" t="s">
        <v>2176</v>
      </c>
      <c r="R386" s="1" t="b">
        <f>COUNTIF(  Papers!G:G, RAW_DATA!Q386 ) = 0</f>
        <v>0</v>
      </c>
      <c r="S386" s="1" t="b">
        <f t="shared" si="1"/>
        <v>0</v>
      </c>
    </row>
    <row r="387" spans="1:19" ht="15.75" customHeight="1">
      <c r="A387" s="1" t="s">
        <v>2177</v>
      </c>
      <c r="B387" s="1" t="s">
        <v>2178</v>
      </c>
      <c r="C387" s="1">
        <v>2019</v>
      </c>
      <c r="D387" s="1" t="s">
        <v>2179</v>
      </c>
      <c r="E387" s="1">
        <v>182</v>
      </c>
      <c r="H387" s="1">
        <v>179</v>
      </c>
      <c r="I387" s="1">
        <v>193</v>
      </c>
      <c r="J387" s="1">
        <v>122</v>
      </c>
      <c r="K387" s="1" t="s">
        <v>2180</v>
      </c>
      <c r="L387" s="1" t="s">
        <v>2181</v>
      </c>
      <c r="M387" s="1" t="s">
        <v>24</v>
      </c>
      <c r="N387" s="1" t="s">
        <v>25</v>
      </c>
      <c r="P387" s="1" t="s">
        <v>27</v>
      </c>
      <c r="Q387" s="1" t="s">
        <v>2182</v>
      </c>
      <c r="R387" s="1" t="b">
        <f>COUNTIF(  Papers!G:G, RAW_DATA!Q387 ) = 0</f>
        <v>0</v>
      </c>
      <c r="S387" s="1" t="b">
        <f t="shared" si="1"/>
        <v>0</v>
      </c>
    </row>
    <row r="388" spans="1:19" ht="15.75" customHeight="1">
      <c r="A388" s="1" t="s">
        <v>2183</v>
      </c>
      <c r="B388" s="1" t="s">
        <v>2184</v>
      </c>
      <c r="C388" s="1">
        <v>2024</v>
      </c>
      <c r="D388" s="1" t="s">
        <v>1179</v>
      </c>
      <c r="E388" s="1">
        <v>17</v>
      </c>
      <c r="H388" s="1">
        <v>1588</v>
      </c>
      <c r="I388" s="1">
        <v>1599</v>
      </c>
      <c r="J388" s="1">
        <v>129</v>
      </c>
      <c r="K388" s="1" t="s">
        <v>2185</v>
      </c>
      <c r="L388" s="1" t="s">
        <v>2186</v>
      </c>
      <c r="M388" s="1" t="s">
        <v>54</v>
      </c>
      <c r="N388" s="1" t="s">
        <v>25</v>
      </c>
      <c r="O388" s="1" t="s">
        <v>55</v>
      </c>
      <c r="P388" s="1" t="s">
        <v>27</v>
      </c>
      <c r="Q388" s="1" t="s">
        <v>2187</v>
      </c>
      <c r="R388" s="1" t="b">
        <f>COUNTIF(  Papers!G:G, RAW_DATA!Q388 ) = 0</f>
        <v>0</v>
      </c>
      <c r="S388" s="1" t="b">
        <f t="shared" si="1"/>
        <v>0</v>
      </c>
    </row>
    <row r="389" spans="1:19" ht="15.75" customHeight="1">
      <c r="A389" s="1" t="s">
        <v>2188</v>
      </c>
      <c r="B389" s="1" t="s">
        <v>2189</v>
      </c>
      <c r="C389" s="1">
        <v>2021</v>
      </c>
      <c r="D389" s="1" t="s">
        <v>1017</v>
      </c>
      <c r="E389" s="1">
        <v>52</v>
      </c>
      <c r="F389" s="1">
        <v>4</v>
      </c>
      <c r="H389" s="1">
        <v>1695</v>
      </c>
      <c r="I389" s="1">
        <v>1708</v>
      </c>
      <c r="J389" s="1">
        <v>114</v>
      </c>
      <c r="K389" s="1" t="s">
        <v>2190</v>
      </c>
      <c r="L389" s="1" t="s">
        <v>2191</v>
      </c>
      <c r="M389" s="1" t="s">
        <v>54</v>
      </c>
      <c r="N389" s="1" t="s">
        <v>25</v>
      </c>
      <c r="P389" s="1" t="s">
        <v>27</v>
      </c>
      <c r="Q389" s="1" t="s">
        <v>2192</v>
      </c>
      <c r="R389" s="1" t="b">
        <f>COUNTIF(  Papers!G:G, RAW_DATA!Q389 ) = 0</f>
        <v>0</v>
      </c>
      <c r="S389" s="1" t="b">
        <f t="shared" si="1"/>
        <v>0</v>
      </c>
    </row>
    <row r="390" spans="1:19" ht="15.75" customHeight="1">
      <c r="A390" s="1" t="s">
        <v>2193</v>
      </c>
      <c r="B390" s="1" t="s">
        <v>2194</v>
      </c>
      <c r="C390" s="1">
        <v>2019</v>
      </c>
      <c r="D390" s="1" t="s">
        <v>1250</v>
      </c>
      <c r="E390" s="1">
        <v>120</v>
      </c>
      <c r="H390" s="1">
        <v>865</v>
      </c>
      <c r="I390" s="1">
        <v>876</v>
      </c>
      <c r="J390" s="1">
        <v>126</v>
      </c>
      <c r="K390" s="1" t="s">
        <v>2195</v>
      </c>
      <c r="L390" s="1" t="s">
        <v>2196</v>
      </c>
      <c r="M390" s="1" t="s">
        <v>54</v>
      </c>
      <c r="N390" s="1" t="s">
        <v>25</v>
      </c>
      <c r="O390" s="1" t="s">
        <v>113</v>
      </c>
      <c r="P390" s="1" t="s">
        <v>27</v>
      </c>
      <c r="Q390" s="1" t="s">
        <v>2197</v>
      </c>
      <c r="R390" s="1" t="b">
        <f>COUNTIF(  Papers!G:G, RAW_DATA!Q390 ) = 0</f>
        <v>0</v>
      </c>
      <c r="S390" s="1" t="b">
        <f t="shared" si="1"/>
        <v>0</v>
      </c>
    </row>
    <row r="391" spans="1:19" ht="15.75" customHeight="1">
      <c r="A391" s="1" t="s">
        <v>2198</v>
      </c>
      <c r="B391" s="1" t="s">
        <v>2199</v>
      </c>
      <c r="C391" s="1">
        <v>2019</v>
      </c>
      <c r="D391" s="1" t="s">
        <v>304</v>
      </c>
      <c r="E391" s="1">
        <v>66</v>
      </c>
      <c r="H391" s="1">
        <v>1</v>
      </c>
      <c r="I391" s="1">
        <v>14</v>
      </c>
      <c r="J391" s="1">
        <v>132</v>
      </c>
      <c r="K391" s="1" t="s">
        <v>2200</v>
      </c>
      <c r="L391" s="1" t="s">
        <v>2201</v>
      </c>
      <c r="M391" s="1" t="s">
        <v>54</v>
      </c>
      <c r="N391" s="1" t="s">
        <v>25</v>
      </c>
      <c r="O391" s="1" t="s">
        <v>324</v>
      </c>
      <c r="P391" s="1" t="s">
        <v>27</v>
      </c>
      <c r="Q391" s="1" t="s">
        <v>2202</v>
      </c>
      <c r="R391" s="1" t="b">
        <f>COUNTIF(  Papers!G:G, RAW_DATA!Q391 ) = 0</f>
        <v>0</v>
      </c>
      <c r="S391" s="1" t="b">
        <f t="shared" si="1"/>
        <v>0</v>
      </c>
    </row>
    <row r="392" spans="1:19" ht="15.75" customHeight="1">
      <c r="A392" s="1" t="s">
        <v>2203</v>
      </c>
      <c r="B392" s="1" t="s">
        <v>2204</v>
      </c>
      <c r="C392" s="1">
        <v>2020</v>
      </c>
      <c r="D392" s="1" t="s">
        <v>2205</v>
      </c>
      <c r="E392" s="1">
        <v>39</v>
      </c>
      <c r="G392" s="1">
        <v>105456</v>
      </c>
      <c r="J392" s="1">
        <v>104</v>
      </c>
      <c r="K392" s="1" t="s">
        <v>2206</v>
      </c>
      <c r="L392" s="1" t="s">
        <v>2207</v>
      </c>
      <c r="M392" s="1" t="s">
        <v>54</v>
      </c>
      <c r="N392" s="1" t="s">
        <v>25</v>
      </c>
      <c r="O392" s="1" t="s">
        <v>100</v>
      </c>
      <c r="P392" s="1" t="s">
        <v>27</v>
      </c>
      <c r="Q392" s="1" t="s">
        <v>2208</v>
      </c>
      <c r="R392" s="1" t="b">
        <f>COUNTIF(  Papers!G:G, RAW_DATA!Q392 ) = 0</f>
        <v>0</v>
      </c>
      <c r="S392" s="1" t="b">
        <f t="shared" si="1"/>
        <v>0</v>
      </c>
    </row>
    <row r="393" spans="1:19" ht="15.75" customHeight="1">
      <c r="A393" s="1" t="s">
        <v>2209</v>
      </c>
      <c r="B393" s="1" t="s">
        <v>2210</v>
      </c>
      <c r="C393" s="1">
        <v>2023</v>
      </c>
      <c r="D393" s="1" t="s">
        <v>333</v>
      </c>
      <c r="E393" s="1">
        <v>186</v>
      </c>
      <c r="F393" s="1">
        <v>1</v>
      </c>
      <c r="H393" s="1">
        <v>179</v>
      </c>
      <c r="I393" s="1">
        <v>197</v>
      </c>
      <c r="J393" s="1">
        <v>111</v>
      </c>
      <c r="K393" s="1" t="s">
        <v>2211</v>
      </c>
      <c r="L393" s="1" t="s">
        <v>2212</v>
      </c>
      <c r="M393" s="1" t="s">
        <v>54</v>
      </c>
      <c r="N393" s="1" t="s">
        <v>25</v>
      </c>
      <c r="P393" s="1" t="s">
        <v>27</v>
      </c>
      <c r="Q393" s="1" t="s">
        <v>2213</v>
      </c>
      <c r="R393" s="1" t="b">
        <f>COUNTIF(  Papers!G:G, RAW_DATA!Q393 ) = 0</f>
        <v>0</v>
      </c>
      <c r="S393" s="1" t="b">
        <f t="shared" si="1"/>
        <v>0</v>
      </c>
    </row>
    <row r="394" spans="1:19" ht="15.75" customHeight="1">
      <c r="A394" s="1" t="s">
        <v>2214</v>
      </c>
      <c r="B394" s="1" t="s">
        <v>2215</v>
      </c>
      <c r="C394" s="1">
        <v>2022</v>
      </c>
      <c r="D394" s="1" t="s">
        <v>247</v>
      </c>
      <c r="G394" s="1">
        <v>109</v>
      </c>
      <c r="J394" s="1">
        <v>102</v>
      </c>
      <c r="K394" s="1" t="s">
        <v>2216</v>
      </c>
      <c r="L394" s="1" t="s">
        <v>2217</v>
      </c>
      <c r="M394" s="1" t="s">
        <v>169</v>
      </c>
      <c r="N394" s="1" t="s">
        <v>25</v>
      </c>
      <c r="P394" s="1" t="s">
        <v>27</v>
      </c>
      <c r="Q394" s="1" t="s">
        <v>2218</v>
      </c>
      <c r="R394" s="1" t="b">
        <f>COUNTIF(  Papers!G:G, RAW_DATA!Q394 ) = 0</f>
        <v>0</v>
      </c>
      <c r="S394" s="1" t="b">
        <f t="shared" si="1"/>
        <v>0</v>
      </c>
    </row>
    <row r="395" spans="1:19" ht="15.75" customHeight="1">
      <c r="A395" s="1" t="s">
        <v>2219</v>
      </c>
      <c r="B395" s="1" t="s">
        <v>2220</v>
      </c>
      <c r="C395" s="1">
        <v>2021</v>
      </c>
      <c r="D395" s="1" t="s">
        <v>443</v>
      </c>
      <c r="H395" s="1">
        <v>307</v>
      </c>
      <c r="I395" s="1">
        <v>317</v>
      </c>
      <c r="J395" s="1">
        <v>126</v>
      </c>
      <c r="K395" s="1" t="s">
        <v>2221</v>
      </c>
      <c r="L395" s="1" t="s">
        <v>2222</v>
      </c>
      <c r="M395" s="1" t="s">
        <v>169</v>
      </c>
      <c r="N395" s="1" t="s">
        <v>25</v>
      </c>
      <c r="P395" s="1" t="s">
        <v>27</v>
      </c>
      <c r="Q395" s="1" t="s">
        <v>2223</v>
      </c>
      <c r="R395" s="1" t="b">
        <f>COUNTIF(  Papers!G:G, RAW_DATA!Q395 ) = 0</f>
        <v>0</v>
      </c>
      <c r="S395" s="1" t="b">
        <f t="shared" si="1"/>
        <v>0</v>
      </c>
    </row>
    <row r="396" spans="1:19" ht="15.75" customHeight="1">
      <c r="A396" s="1" t="s">
        <v>1630</v>
      </c>
      <c r="B396" s="1" t="s">
        <v>2224</v>
      </c>
      <c r="C396" s="1">
        <v>2023</v>
      </c>
      <c r="D396" s="1" t="s">
        <v>2225</v>
      </c>
      <c r="E396" s="1">
        <v>13</v>
      </c>
      <c r="F396" s="1">
        <v>8</v>
      </c>
      <c r="G396" s="1">
        <v>178</v>
      </c>
      <c r="J396" s="1">
        <v>112</v>
      </c>
      <c r="K396" s="1" t="s">
        <v>2226</v>
      </c>
      <c r="L396" s="1" t="s">
        <v>2227</v>
      </c>
      <c r="M396" s="1" t="s">
        <v>54</v>
      </c>
      <c r="N396" s="1" t="s">
        <v>25</v>
      </c>
      <c r="O396" s="1" t="s">
        <v>26</v>
      </c>
      <c r="P396" s="1" t="s">
        <v>27</v>
      </c>
      <c r="Q396" s="1" t="s">
        <v>2228</v>
      </c>
      <c r="R396" s="1" t="b">
        <f>COUNTIF(  Papers!G:G, RAW_DATA!Q396 ) = 0</f>
        <v>0</v>
      </c>
      <c r="S396" s="1" t="b">
        <f t="shared" si="1"/>
        <v>0</v>
      </c>
    </row>
    <row r="397" spans="1:19" ht="15.75" customHeight="1">
      <c r="A397" s="1" t="s">
        <v>2229</v>
      </c>
      <c r="B397" s="1" t="s">
        <v>2230</v>
      </c>
      <c r="C397" s="1">
        <v>2020</v>
      </c>
      <c r="D397" s="1" t="s">
        <v>90</v>
      </c>
      <c r="E397" s="1">
        <v>11</v>
      </c>
      <c r="G397" s="1">
        <v>568256</v>
      </c>
      <c r="J397" s="1">
        <v>107</v>
      </c>
      <c r="K397" s="1" t="s">
        <v>2231</v>
      </c>
      <c r="L397" s="1" t="s">
        <v>2232</v>
      </c>
      <c r="M397" s="1" t="s">
        <v>54</v>
      </c>
      <c r="N397" s="1" t="s">
        <v>25</v>
      </c>
      <c r="O397" s="1" t="s">
        <v>26</v>
      </c>
      <c r="P397" s="1" t="s">
        <v>27</v>
      </c>
      <c r="Q397" s="1" t="s">
        <v>2233</v>
      </c>
      <c r="R397" s="1" t="b">
        <f>COUNTIF(  Papers!G:G, RAW_DATA!Q397 ) = 0</f>
        <v>0</v>
      </c>
      <c r="S397" s="1" t="b">
        <f t="shared" si="1"/>
        <v>0</v>
      </c>
    </row>
    <row r="398" spans="1:19" ht="15.75" customHeight="1">
      <c r="A398" s="1" t="s">
        <v>2234</v>
      </c>
      <c r="B398" s="1" t="s">
        <v>2235</v>
      </c>
      <c r="C398" s="1">
        <v>2024</v>
      </c>
      <c r="D398" s="1" t="s">
        <v>2236</v>
      </c>
      <c r="E398" s="1">
        <v>6</v>
      </c>
      <c r="G398" s="1">
        <v>100184</v>
      </c>
      <c r="J398" s="1">
        <v>118</v>
      </c>
      <c r="K398" s="1" t="s">
        <v>2237</v>
      </c>
      <c r="L398" s="1" t="s">
        <v>2238</v>
      </c>
      <c r="M398" s="1" t="s">
        <v>54</v>
      </c>
      <c r="N398" s="1" t="s">
        <v>25</v>
      </c>
      <c r="O398" s="1" t="s">
        <v>26</v>
      </c>
      <c r="P398" s="1" t="s">
        <v>27</v>
      </c>
      <c r="Q398" s="1" t="s">
        <v>2239</v>
      </c>
      <c r="R398" s="1" t="b">
        <f>COUNTIF(  Papers!G:G, RAW_DATA!Q398 ) = 0</f>
        <v>0</v>
      </c>
      <c r="S398" s="1" t="b">
        <f t="shared" si="1"/>
        <v>0</v>
      </c>
    </row>
    <row r="399" spans="1:19" ht="15.75" customHeight="1">
      <c r="A399" s="1" t="s">
        <v>2240</v>
      </c>
      <c r="B399" s="1" t="s">
        <v>2241</v>
      </c>
      <c r="C399" s="1">
        <v>2022</v>
      </c>
      <c r="D399" s="1" t="s">
        <v>2242</v>
      </c>
      <c r="E399" s="1">
        <v>2</v>
      </c>
      <c r="F399" s="1">
        <v>1</v>
      </c>
      <c r="G399" s="1">
        <v>8</v>
      </c>
      <c r="J399" s="1">
        <v>123</v>
      </c>
      <c r="K399" s="1" t="s">
        <v>2243</v>
      </c>
      <c r="L399" s="1" t="s">
        <v>2244</v>
      </c>
      <c r="M399" s="1" t="s">
        <v>54</v>
      </c>
      <c r="N399" s="1" t="s">
        <v>25</v>
      </c>
      <c r="O399" s="1" t="s">
        <v>41</v>
      </c>
      <c r="P399" s="1" t="s">
        <v>27</v>
      </c>
      <c r="Q399" s="1" t="s">
        <v>2245</v>
      </c>
      <c r="R399" s="1" t="b">
        <f>COUNTIF(  Papers!G:G, RAW_DATA!Q399 ) = 0</f>
        <v>0</v>
      </c>
      <c r="S399" s="1" t="b">
        <f t="shared" si="1"/>
        <v>0</v>
      </c>
    </row>
    <row r="400" spans="1:19" ht="15.75" customHeight="1">
      <c r="A400" s="1" t="s">
        <v>2246</v>
      </c>
      <c r="B400" s="1" t="s">
        <v>2247</v>
      </c>
      <c r="C400" s="1">
        <v>2024</v>
      </c>
      <c r="D400" s="1" t="s">
        <v>130</v>
      </c>
      <c r="E400" s="1">
        <v>180</v>
      </c>
      <c r="G400" s="1">
        <v>114737</v>
      </c>
      <c r="J400" s="1">
        <v>107</v>
      </c>
      <c r="K400" s="1" t="s">
        <v>2248</v>
      </c>
      <c r="L400" s="1" t="s">
        <v>2249</v>
      </c>
      <c r="M400" s="1" t="s">
        <v>54</v>
      </c>
      <c r="N400" s="1" t="s">
        <v>25</v>
      </c>
      <c r="O400" s="1" t="s">
        <v>55</v>
      </c>
      <c r="P400" s="1" t="s">
        <v>27</v>
      </c>
      <c r="Q400" s="1" t="s">
        <v>2250</v>
      </c>
      <c r="R400" s="1" t="b">
        <f>COUNTIF(  Papers!G:G, RAW_DATA!Q400 ) = 0</f>
        <v>0</v>
      </c>
      <c r="S400" s="1" t="b">
        <f t="shared" si="1"/>
        <v>0</v>
      </c>
    </row>
    <row r="401" spans="1:19" ht="15.75" customHeight="1">
      <c r="A401" s="1" t="s">
        <v>2251</v>
      </c>
      <c r="B401" s="1" t="s">
        <v>2252</v>
      </c>
      <c r="C401" s="1">
        <v>2023</v>
      </c>
      <c r="D401" s="1" t="s">
        <v>189</v>
      </c>
      <c r="E401" s="1">
        <v>141</v>
      </c>
      <c r="G401" s="1">
        <v>107617</v>
      </c>
      <c r="J401" s="1">
        <v>100</v>
      </c>
      <c r="K401" s="1" t="s">
        <v>2253</v>
      </c>
      <c r="L401" s="1" t="s">
        <v>2254</v>
      </c>
      <c r="M401" s="1" t="s">
        <v>54</v>
      </c>
      <c r="N401" s="1" t="s">
        <v>25</v>
      </c>
      <c r="O401" s="1" t="s">
        <v>55</v>
      </c>
      <c r="P401" s="1" t="s">
        <v>27</v>
      </c>
      <c r="Q401" s="1" t="s">
        <v>2255</v>
      </c>
      <c r="R401" s="1" t="b">
        <f>COUNTIF(  Papers!G:G, RAW_DATA!Q401 ) = 0</f>
        <v>0</v>
      </c>
      <c r="S401" s="1" t="b">
        <f t="shared" si="1"/>
        <v>0</v>
      </c>
    </row>
    <row r="402" spans="1:19" ht="15.75" customHeight="1">
      <c r="A402" s="1" t="s">
        <v>2256</v>
      </c>
      <c r="B402" s="1" t="s">
        <v>2257</v>
      </c>
      <c r="C402" s="1">
        <v>2023</v>
      </c>
      <c r="D402" s="1" t="s">
        <v>592</v>
      </c>
      <c r="E402" s="1">
        <v>5</v>
      </c>
      <c r="G402" s="1">
        <v>100150</v>
      </c>
      <c r="J402" s="1">
        <v>120</v>
      </c>
      <c r="K402" s="1" t="s">
        <v>2258</v>
      </c>
      <c r="L402" s="1" t="s">
        <v>2259</v>
      </c>
      <c r="M402" s="1" t="s">
        <v>54</v>
      </c>
      <c r="N402" s="1" t="s">
        <v>25</v>
      </c>
      <c r="O402" s="1" t="s">
        <v>26</v>
      </c>
      <c r="P402" s="1" t="s">
        <v>27</v>
      </c>
      <c r="Q402" s="1" t="s">
        <v>2260</v>
      </c>
      <c r="R402" s="1" t="b">
        <f>COUNTIF(  Papers!G:G, RAW_DATA!Q402 ) = 0</f>
        <v>0</v>
      </c>
      <c r="S402" s="1" t="b">
        <f t="shared" si="1"/>
        <v>0</v>
      </c>
    </row>
    <row r="403" spans="1:19" ht="15.75" customHeight="1">
      <c r="A403" s="1" t="s">
        <v>2261</v>
      </c>
      <c r="B403" s="1" t="s">
        <v>2262</v>
      </c>
      <c r="C403" s="1">
        <v>2024</v>
      </c>
      <c r="D403" s="1" t="s">
        <v>2263</v>
      </c>
      <c r="E403" s="1">
        <v>76</v>
      </c>
      <c r="G403" s="1">
        <v>103581</v>
      </c>
      <c r="J403" s="1">
        <v>119</v>
      </c>
      <c r="K403" s="1" t="s">
        <v>2264</v>
      </c>
      <c r="L403" s="1" t="s">
        <v>2265</v>
      </c>
      <c r="M403" s="1" t="s">
        <v>54</v>
      </c>
      <c r="N403" s="1" t="s">
        <v>25</v>
      </c>
      <c r="P403" s="1" t="s">
        <v>27</v>
      </c>
      <c r="Q403" s="1" t="s">
        <v>2266</v>
      </c>
      <c r="R403" s="1" t="b">
        <f>COUNTIF(  Papers!G:G, RAW_DATA!Q403 ) = 0</f>
        <v>0</v>
      </c>
      <c r="S403" s="1" t="b">
        <f t="shared" si="1"/>
        <v>0</v>
      </c>
    </row>
    <row r="404" spans="1:19" ht="15.75" customHeight="1">
      <c r="A404" s="1" t="s">
        <v>2267</v>
      </c>
      <c r="B404" s="1" t="s">
        <v>2268</v>
      </c>
      <c r="C404" s="1">
        <v>2022</v>
      </c>
      <c r="D404" s="1" t="s">
        <v>2269</v>
      </c>
      <c r="E404" s="1">
        <v>29</v>
      </c>
      <c r="F404" s="1">
        <v>4</v>
      </c>
      <c r="G404" s="1">
        <v>35</v>
      </c>
      <c r="J404" s="1">
        <v>110</v>
      </c>
      <c r="K404" s="1" t="s">
        <v>2270</v>
      </c>
      <c r="L404" s="1" t="s">
        <v>2271</v>
      </c>
      <c r="M404" s="1" t="s">
        <v>54</v>
      </c>
      <c r="N404" s="1" t="s">
        <v>25</v>
      </c>
      <c r="O404" s="1" t="s">
        <v>120</v>
      </c>
      <c r="P404" s="1" t="s">
        <v>27</v>
      </c>
      <c r="Q404" s="1" t="s">
        <v>2272</v>
      </c>
      <c r="R404" s="1" t="b">
        <f>COUNTIF(  Papers!G:G, RAW_DATA!Q404 ) = 0</f>
        <v>0</v>
      </c>
      <c r="S404" s="1" t="b">
        <f t="shared" si="1"/>
        <v>0</v>
      </c>
    </row>
    <row r="405" spans="1:19" ht="15.75" customHeight="1">
      <c r="A405" s="1" t="s">
        <v>2273</v>
      </c>
      <c r="B405" s="1" t="s">
        <v>2274</v>
      </c>
      <c r="C405" s="1">
        <v>2021</v>
      </c>
      <c r="D405" s="1" t="s">
        <v>1817</v>
      </c>
      <c r="E405" s="1">
        <v>8</v>
      </c>
      <c r="G405" s="1">
        <v>640444</v>
      </c>
      <c r="J405" s="1">
        <v>112</v>
      </c>
      <c r="K405" s="1" t="s">
        <v>2275</v>
      </c>
      <c r="L405" s="1" t="s">
        <v>2276</v>
      </c>
      <c r="M405" s="1" t="s">
        <v>54</v>
      </c>
      <c r="N405" s="1" t="s">
        <v>25</v>
      </c>
      <c r="O405" s="1" t="s">
        <v>26</v>
      </c>
      <c r="P405" s="1" t="s">
        <v>27</v>
      </c>
      <c r="Q405" s="1" t="s">
        <v>2277</v>
      </c>
      <c r="R405" s="1" t="b">
        <f>COUNTIF(  Papers!G:G, RAW_DATA!Q405 ) = 0</f>
        <v>0</v>
      </c>
      <c r="S405" s="1" t="b">
        <f t="shared" si="1"/>
        <v>0</v>
      </c>
    </row>
    <row r="406" spans="1:19" ht="15.75" customHeight="1">
      <c r="A406" s="1" t="s">
        <v>2278</v>
      </c>
      <c r="B406" s="1" t="s">
        <v>2279</v>
      </c>
      <c r="C406" s="1">
        <v>2017</v>
      </c>
      <c r="D406" s="1" t="s">
        <v>304</v>
      </c>
      <c r="E406" s="1">
        <v>46</v>
      </c>
      <c r="H406" s="1">
        <v>216</v>
      </c>
      <c r="I406" s="1">
        <v>227</v>
      </c>
      <c r="J406" s="1">
        <v>101</v>
      </c>
      <c r="K406" s="1" t="s">
        <v>2280</v>
      </c>
      <c r="L406" s="1" t="s">
        <v>2281</v>
      </c>
      <c r="M406" s="1" t="s">
        <v>54</v>
      </c>
      <c r="N406" s="1" t="s">
        <v>25</v>
      </c>
      <c r="P406" s="1" t="s">
        <v>27</v>
      </c>
      <c r="Q406" s="1" t="s">
        <v>2282</v>
      </c>
      <c r="R406" s="1" t="b">
        <f>COUNTIF(  Papers!G:G, RAW_DATA!Q406 ) = 0</f>
        <v>0</v>
      </c>
      <c r="S406" s="1" t="b">
        <f t="shared" si="1"/>
        <v>0</v>
      </c>
    </row>
    <row r="407" spans="1:19" ht="15.75" customHeight="1">
      <c r="A407" s="1" t="s">
        <v>2283</v>
      </c>
      <c r="B407" s="1" t="s">
        <v>2284</v>
      </c>
      <c r="C407" s="1">
        <v>2020</v>
      </c>
      <c r="D407" s="1" t="s">
        <v>513</v>
      </c>
      <c r="E407" s="1">
        <v>63</v>
      </c>
      <c r="F407" s="1">
        <v>3</v>
      </c>
      <c r="H407" s="1">
        <v>334</v>
      </c>
      <c r="I407" s="1">
        <v>345</v>
      </c>
      <c r="J407" s="1">
        <v>100</v>
      </c>
      <c r="K407" s="1" t="s">
        <v>2285</v>
      </c>
      <c r="L407" s="1" t="s">
        <v>2286</v>
      </c>
      <c r="M407" s="1" t="s">
        <v>54</v>
      </c>
      <c r="N407" s="1" t="s">
        <v>25</v>
      </c>
      <c r="P407" s="1" t="s">
        <v>27</v>
      </c>
      <c r="Q407" s="1" t="s">
        <v>2287</v>
      </c>
      <c r="R407" s="1" t="b">
        <f>COUNTIF(  Papers!G:G, RAW_DATA!Q407 ) = 0</f>
        <v>0</v>
      </c>
      <c r="S407" s="1" t="b">
        <f t="shared" si="1"/>
        <v>0</v>
      </c>
    </row>
    <row r="408" spans="1:19" ht="15.75" customHeight="1">
      <c r="A408" s="1" t="s">
        <v>2288</v>
      </c>
      <c r="B408" s="1" t="s">
        <v>2289</v>
      </c>
      <c r="C408" s="1">
        <v>2021</v>
      </c>
      <c r="D408" s="1" t="s">
        <v>436</v>
      </c>
      <c r="E408" s="1">
        <v>5</v>
      </c>
      <c r="F408" s="1" t="s">
        <v>1782</v>
      </c>
      <c r="G408" s="1">
        <v>339</v>
      </c>
      <c r="J408" s="1">
        <v>107</v>
      </c>
      <c r="K408" s="1" t="s">
        <v>2290</v>
      </c>
      <c r="L408" s="1" t="s">
        <v>2291</v>
      </c>
      <c r="M408" s="1" t="s">
        <v>54</v>
      </c>
      <c r="N408" s="1" t="s">
        <v>25</v>
      </c>
      <c r="O408" s="1" t="s">
        <v>55</v>
      </c>
      <c r="P408" s="1" t="s">
        <v>27</v>
      </c>
      <c r="Q408" s="1" t="s">
        <v>2292</v>
      </c>
      <c r="R408" s="1" t="b">
        <f>COUNTIF(  Papers!G:G, RAW_DATA!Q408 ) = 0</f>
        <v>0</v>
      </c>
      <c r="S408" s="1" t="b">
        <f t="shared" si="1"/>
        <v>0</v>
      </c>
    </row>
    <row r="409" spans="1:19" ht="15.75" customHeight="1">
      <c r="A409" s="1" t="s">
        <v>2293</v>
      </c>
      <c r="B409" s="1" t="s">
        <v>2294</v>
      </c>
      <c r="C409" s="1">
        <v>2023</v>
      </c>
      <c r="D409" s="1" t="s">
        <v>844</v>
      </c>
      <c r="E409" s="1">
        <v>74</v>
      </c>
      <c r="G409" s="1">
        <v>102321</v>
      </c>
      <c r="J409" s="1">
        <v>112</v>
      </c>
      <c r="K409" s="1" t="s">
        <v>2295</v>
      </c>
      <c r="L409" s="1" t="s">
        <v>2296</v>
      </c>
      <c r="M409" s="1" t="s">
        <v>54</v>
      </c>
      <c r="N409" s="1" t="s">
        <v>25</v>
      </c>
      <c r="O409" s="1" t="s">
        <v>55</v>
      </c>
      <c r="P409" s="1" t="s">
        <v>27</v>
      </c>
      <c r="Q409" s="1" t="s">
        <v>2297</v>
      </c>
      <c r="R409" s="1" t="b">
        <f>COUNTIF(  Papers!G:G, RAW_DATA!Q409 ) = 0</f>
        <v>0</v>
      </c>
      <c r="S409" s="1" t="b">
        <f t="shared" si="1"/>
        <v>0</v>
      </c>
    </row>
    <row r="410" spans="1:19" ht="15.75" customHeight="1">
      <c r="A410" s="1" t="s">
        <v>2298</v>
      </c>
      <c r="B410" s="1" t="s">
        <v>2299</v>
      </c>
      <c r="C410" s="1">
        <v>2017</v>
      </c>
      <c r="D410" s="1" t="s">
        <v>84</v>
      </c>
      <c r="E410" s="1">
        <v>59</v>
      </c>
      <c r="F410" s="1">
        <v>1</v>
      </c>
      <c r="H410" s="1">
        <v>116</v>
      </c>
      <c r="I410" s="1">
        <v>133</v>
      </c>
      <c r="J410" s="1">
        <v>108</v>
      </c>
      <c r="K410" s="1" t="s">
        <v>2300</v>
      </c>
      <c r="L410" s="1" t="s">
        <v>2301</v>
      </c>
      <c r="M410" s="1" t="s">
        <v>54</v>
      </c>
      <c r="N410" s="1" t="s">
        <v>25</v>
      </c>
      <c r="O410" s="1" t="s">
        <v>113</v>
      </c>
      <c r="P410" s="1" t="s">
        <v>27</v>
      </c>
      <c r="Q410" s="1" t="s">
        <v>2302</v>
      </c>
      <c r="R410" s="1" t="b">
        <f>COUNTIF(  Papers!G:G, RAW_DATA!Q410 ) = 0</f>
        <v>0</v>
      </c>
      <c r="S410" s="1" t="b">
        <f t="shared" si="1"/>
        <v>0</v>
      </c>
    </row>
    <row r="411" spans="1:19" ht="15.75" customHeight="1">
      <c r="A411" s="1" t="s">
        <v>2303</v>
      </c>
      <c r="B411" s="1" t="s">
        <v>2304</v>
      </c>
      <c r="C411" s="1">
        <v>2023</v>
      </c>
      <c r="D411" s="1" t="s">
        <v>608</v>
      </c>
      <c r="E411" s="1">
        <v>24</v>
      </c>
      <c r="F411" s="1">
        <v>2</v>
      </c>
      <c r="H411" s="1">
        <v>129</v>
      </c>
      <c r="I411" s="1">
        <v>175</v>
      </c>
      <c r="J411" s="1">
        <v>127</v>
      </c>
      <c r="K411" s="1" t="s">
        <v>2305</v>
      </c>
      <c r="L411" s="1" t="s">
        <v>2306</v>
      </c>
      <c r="M411" s="1" t="s">
        <v>54</v>
      </c>
      <c r="N411" s="1" t="s">
        <v>25</v>
      </c>
      <c r="O411" s="1" t="s">
        <v>324</v>
      </c>
      <c r="P411" s="1" t="s">
        <v>27</v>
      </c>
      <c r="Q411" s="1" t="s">
        <v>2307</v>
      </c>
      <c r="R411" s="1" t="b">
        <f>COUNTIF(  Papers!G:G, RAW_DATA!Q411 ) = 0</f>
        <v>0</v>
      </c>
      <c r="S411" s="1" t="b">
        <f t="shared" si="1"/>
        <v>0</v>
      </c>
    </row>
    <row r="412" spans="1:19" ht="15.75" customHeight="1">
      <c r="A412" s="1" t="s">
        <v>2308</v>
      </c>
      <c r="B412" s="1" t="s">
        <v>2309</v>
      </c>
      <c r="C412" s="1">
        <v>2022</v>
      </c>
      <c r="D412" s="1" t="s">
        <v>1855</v>
      </c>
      <c r="E412" s="1">
        <v>27</v>
      </c>
      <c r="F412" s="1">
        <v>4</v>
      </c>
      <c r="G412" s="1" t="s">
        <v>2310</v>
      </c>
      <c r="J412" s="1">
        <v>110</v>
      </c>
      <c r="K412" s="1" t="s">
        <v>2311</v>
      </c>
      <c r="L412" s="1" t="s">
        <v>2312</v>
      </c>
      <c r="M412" s="1" t="s">
        <v>54</v>
      </c>
      <c r="N412" s="1" t="s">
        <v>25</v>
      </c>
      <c r="O412" s="1" t="s">
        <v>41</v>
      </c>
      <c r="P412" s="1" t="s">
        <v>27</v>
      </c>
      <c r="Q412" s="1" t="s">
        <v>2313</v>
      </c>
      <c r="R412" s="1" t="b">
        <f>COUNTIF(  Papers!G:G, RAW_DATA!Q412 ) = 0</f>
        <v>0</v>
      </c>
      <c r="S412" s="1" t="b">
        <f t="shared" si="1"/>
        <v>0</v>
      </c>
    </row>
    <row r="413" spans="1:19" ht="15.75" customHeight="1">
      <c r="A413" s="1" t="s">
        <v>2314</v>
      </c>
      <c r="B413" s="1" t="s">
        <v>2315</v>
      </c>
      <c r="C413" s="1">
        <v>2024</v>
      </c>
      <c r="D413" s="1" t="s">
        <v>2263</v>
      </c>
      <c r="E413" s="1">
        <v>76</v>
      </c>
      <c r="G413" s="1">
        <v>103610</v>
      </c>
      <c r="J413" s="1">
        <v>111</v>
      </c>
      <c r="K413" s="1" t="s">
        <v>2316</v>
      </c>
      <c r="L413" s="1" t="s">
        <v>2317</v>
      </c>
      <c r="M413" s="1" t="s">
        <v>54</v>
      </c>
      <c r="N413" s="1" t="s">
        <v>25</v>
      </c>
      <c r="P413" s="1" t="s">
        <v>27</v>
      </c>
      <c r="Q413" s="1" t="s">
        <v>2318</v>
      </c>
      <c r="R413" s="1" t="b">
        <f>COUNTIF(  Papers!G:G, RAW_DATA!Q413 ) = 0</f>
        <v>0</v>
      </c>
      <c r="S413" s="1" t="b">
        <f t="shared" si="1"/>
        <v>0</v>
      </c>
    </row>
    <row r="414" spans="1:19" ht="15.75" customHeight="1">
      <c r="A414" s="1" t="s">
        <v>2319</v>
      </c>
      <c r="B414" s="1" t="s">
        <v>2320</v>
      </c>
      <c r="C414" s="1">
        <v>2025</v>
      </c>
      <c r="D414" s="1" t="s">
        <v>2321</v>
      </c>
      <c r="E414" s="1">
        <v>95</v>
      </c>
      <c r="G414" s="1">
        <v>102011</v>
      </c>
      <c r="J414" s="1">
        <v>122</v>
      </c>
      <c r="K414" s="1" t="s">
        <v>2322</v>
      </c>
      <c r="L414" s="1" t="s">
        <v>2323</v>
      </c>
      <c r="M414" s="1" t="s">
        <v>54</v>
      </c>
      <c r="N414" s="1" t="s">
        <v>25</v>
      </c>
      <c r="P414" s="1" t="s">
        <v>27</v>
      </c>
      <c r="Q414" s="1" t="s">
        <v>2324</v>
      </c>
      <c r="R414" s="1" t="b">
        <f>COUNTIF(  Papers!G:G, RAW_DATA!Q414 ) = 0</f>
        <v>0</v>
      </c>
      <c r="S414" s="1" t="b">
        <f t="shared" si="1"/>
        <v>0</v>
      </c>
    </row>
    <row r="415" spans="1:19" ht="15.75" customHeight="1">
      <c r="A415" s="1" t="s">
        <v>2325</v>
      </c>
      <c r="B415" s="1" t="s">
        <v>2326</v>
      </c>
      <c r="C415" s="1">
        <v>2025</v>
      </c>
      <c r="D415" s="1" t="s">
        <v>2327</v>
      </c>
      <c r="E415" s="1">
        <v>51</v>
      </c>
      <c r="F415" s="1">
        <v>2</v>
      </c>
      <c r="H415" s="1">
        <v>536</v>
      </c>
      <c r="I415" s="1">
        <v>569</v>
      </c>
      <c r="J415" s="1">
        <v>127</v>
      </c>
      <c r="K415" s="1" t="s">
        <v>2328</v>
      </c>
      <c r="L415" s="1" t="s">
        <v>2329</v>
      </c>
      <c r="M415" s="1" t="s">
        <v>54</v>
      </c>
      <c r="N415" s="1" t="s">
        <v>25</v>
      </c>
      <c r="O415" s="1" t="s">
        <v>100</v>
      </c>
      <c r="P415" s="1" t="s">
        <v>27</v>
      </c>
      <c r="Q415" s="1" t="s">
        <v>2330</v>
      </c>
      <c r="R415" s="1" t="b">
        <f>COUNTIF(  Papers!G:G, RAW_DATA!Q415 ) = 0</f>
        <v>0</v>
      </c>
      <c r="S415" s="1" t="b">
        <f t="shared" si="1"/>
        <v>0</v>
      </c>
    </row>
    <row r="416" spans="1:19" ht="15.75" customHeight="1">
      <c r="A416" s="1" t="s">
        <v>2331</v>
      </c>
      <c r="B416" s="1" t="s">
        <v>2332</v>
      </c>
      <c r="C416" s="1">
        <v>2025</v>
      </c>
      <c r="D416" s="1" t="s">
        <v>1469</v>
      </c>
      <c r="E416" s="1">
        <v>64</v>
      </c>
      <c r="F416" s="1">
        <v>1</v>
      </c>
      <c r="H416" s="1">
        <v>51</v>
      </c>
      <c r="I416" s="1">
        <v>73</v>
      </c>
      <c r="J416" s="1">
        <v>119</v>
      </c>
      <c r="K416" s="1" t="s">
        <v>2333</v>
      </c>
      <c r="L416" s="1" t="s">
        <v>2334</v>
      </c>
      <c r="M416" s="1" t="s">
        <v>54</v>
      </c>
      <c r="N416" s="1" t="s">
        <v>25</v>
      </c>
      <c r="P416" s="1" t="s">
        <v>27</v>
      </c>
      <c r="Q416" s="1" t="s">
        <v>2335</v>
      </c>
      <c r="R416" s="1" t="b">
        <f>COUNTIF(  Papers!G:G, RAW_DATA!Q416 ) = 0</f>
        <v>0</v>
      </c>
      <c r="S416" s="1" t="b">
        <f t="shared" si="1"/>
        <v>0</v>
      </c>
    </row>
    <row r="417" spans="1:19" ht="15.75" customHeight="1">
      <c r="A417" s="1" t="s">
        <v>2336</v>
      </c>
      <c r="B417" s="1" t="s">
        <v>2337</v>
      </c>
      <c r="C417" s="1">
        <v>2023</v>
      </c>
      <c r="D417" s="1" t="s">
        <v>2338</v>
      </c>
      <c r="E417" s="1">
        <v>2023</v>
      </c>
      <c r="J417" s="1">
        <v>107</v>
      </c>
      <c r="L417" s="1" t="s">
        <v>2339</v>
      </c>
      <c r="M417" s="1" t="s">
        <v>54</v>
      </c>
      <c r="N417" s="1" t="s">
        <v>25</v>
      </c>
      <c r="P417" s="1" t="s">
        <v>27</v>
      </c>
      <c r="Q417" s="1" t="s">
        <v>2340</v>
      </c>
      <c r="R417" s="1" t="b">
        <f>COUNTIF(  Papers!G:G, RAW_DATA!Q417 ) = 0</f>
        <v>0</v>
      </c>
      <c r="S417" s="1" t="b">
        <f t="shared" si="1"/>
        <v>0</v>
      </c>
    </row>
    <row r="418" spans="1:19" ht="15.75" customHeight="1">
      <c r="A418" s="1" t="s">
        <v>2341</v>
      </c>
      <c r="B418" s="1" t="s">
        <v>2342</v>
      </c>
      <c r="C418" s="1">
        <v>2023</v>
      </c>
      <c r="D418" s="1" t="s">
        <v>2343</v>
      </c>
      <c r="E418" s="1">
        <v>32</v>
      </c>
      <c r="F418" s="1">
        <v>4</v>
      </c>
      <c r="H418" s="1">
        <v>966</v>
      </c>
      <c r="I418" s="1">
        <v>978</v>
      </c>
      <c r="J418" s="1">
        <v>123</v>
      </c>
      <c r="K418" s="1" t="s">
        <v>2344</v>
      </c>
      <c r="L418" s="1" t="s">
        <v>2345</v>
      </c>
      <c r="M418" s="1" t="s">
        <v>24</v>
      </c>
      <c r="N418" s="1" t="s">
        <v>25</v>
      </c>
      <c r="O418" s="1" t="s">
        <v>55</v>
      </c>
      <c r="P418" s="1" t="s">
        <v>27</v>
      </c>
      <c r="Q418" s="1" t="s">
        <v>2346</v>
      </c>
      <c r="R418" s="1" t="b">
        <f>COUNTIF(  Papers!G:G, RAW_DATA!Q418 ) = 0</f>
        <v>0</v>
      </c>
      <c r="S418" s="1" t="b">
        <f t="shared" si="1"/>
        <v>0</v>
      </c>
    </row>
    <row r="419" spans="1:19" ht="15.75" customHeight="1">
      <c r="A419" s="1" t="s">
        <v>2347</v>
      </c>
      <c r="B419" s="1" t="s">
        <v>2348</v>
      </c>
      <c r="C419" s="1">
        <v>2019</v>
      </c>
      <c r="D419" s="1" t="s">
        <v>513</v>
      </c>
      <c r="E419" s="1">
        <v>62</v>
      </c>
      <c r="F419" s="1">
        <v>4</v>
      </c>
      <c r="H419" s="1">
        <v>479</v>
      </c>
      <c r="I419" s="1">
        <v>495</v>
      </c>
      <c r="J419" s="1">
        <v>110</v>
      </c>
      <c r="K419" s="1" t="s">
        <v>2349</v>
      </c>
      <c r="L419" s="1" t="s">
        <v>2350</v>
      </c>
      <c r="M419" s="1" t="s">
        <v>54</v>
      </c>
      <c r="N419" s="1" t="s">
        <v>25</v>
      </c>
      <c r="P419" s="1" t="s">
        <v>27</v>
      </c>
      <c r="Q419" s="1" t="s">
        <v>2351</v>
      </c>
      <c r="R419" s="1" t="b">
        <f>COUNTIF(  Papers!G:G, RAW_DATA!Q419 ) = 0</f>
        <v>0</v>
      </c>
      <c r="S419" s="1" t="b">
        <f t="shared" si="1"/>
        <v>0</v>
      </c>
    </row>
    <row r="420" spans="1:19" ht="15.75" customHeight="1">
      <c r="A420" s="1" t="s">
        <v>2352</v>
      </c>
      <c r="B420" s="1" t="s">
        <v>2353</v>
      </c>
      <c r="C420" s="1">
        <v>2017</v>
      </c>
      <c r="D420" s="1" t="s">
        <v>2354</v>
      </c>
      <c r="G420" s="1">
        <v>7995746</v>
      </c>
      <c r="H420" s="1">
        <v>365</v>
      </c>
      <c r="I420" s="1">
        <v>372</v>
      </c>
      <c r="J420" s="1">
        <v>101</v>
      </c>
      <c r="K420" s="1" t="s">
        <v>2355</v>
      </c>
      <c r="L420" s="1" t="s">
        <v>2356</v>
      </c>
      <c r="M420" s="1" t="s">
        <v>169</v>
      </c>
      <c r="N420" s="1" t="s">
        <v>25</v>
      </c>
      <c r="P420" s="1" t="s">
        <v>27</v>
      </c>
      <c r="Q420" s="1" t="s">
        <v>2357</v>
      </c>
      <c r="R420" s="1" t="b">
        <f>COUNTIF(  Papers!G:G, RAW_DATA!Q420 ) = 0</f>
        <v>0</v>
      </c>
      <c r="S420" s="1" t="b">
        <f t="shared" si="1"/>
        <v>0</v>
      </c>
    </row>
    <row r="421" spans="1:19" ht="15.75" customHeight="1">
      <c r="A421" s="1" t="s">
        <v>2358</v>
      </c>
      <c r="B421" s="1" t="s">
        <v>2359</v>
      </c>
      <c r="C421" s="1">
        <v>2023</v>
      </c>
      <c r="D421" s="1" t="s">
        <v>189</v>
      </c>
      <c r="E421" s="1">
        <v>139</v>
      </c>
      <c r="G421" s="1">
        <v>107545</v>
      </c>
      <c r="J421" s="1">
        <v>106</v>
      </c>
      <c r="K421" s="1" t="s">
        <v>2360</v>
      </c>
      <c r="L421" s="1" t="s">
        <v>2361</v>
      </c>
      <c r="M421" s="1" t="s">
        <v>24</v>
      </c>
      <c r="N421" s="1" t="s">
        <v>25</v>
      </c>
      <c r="O421" s="1" t="s">
        <v>55</v>
      </c>
      <c r="P421" s="1" t="s">
        <v>27</v>
      </c>
      <c r="Q421" s="1" t="s">
        <v>2362</v>
      </c>
      <c r="R421" s="1" t="b">
        <f>COUNTIF(  Papers!G:G, RAW_DATA!Q421 ) = 0</f>
        <v>0</v>
      </c>
      <c r="S421" s="1" t="b">
        <f t="shared" si="1"/>
        <v>0</v>
      </c>
    </row>
    <row r="422" spans="1:19" ht="15.75" customHeight="1">
      <c r="A422" s="1" t="s">
        <v>2363</v>
      </c>
      <c r="B422" s="1" t="s">
        <v>2364</v>
      </c>
      <c r="C422" s="1">
        <v>2022</v>
      </c>
      <c r="D422" s="1" t="s">
        <v>189</v>
      </c>
      <c r="E422" s="1">
        <v>130</v>
      </c>
      <c r="G422" s="1">
        <v>107179</v>
      </c>
      <c r="J422" s="1">
        <v>112</v>
      </c>
      <c r="K422" s="1" t="s">
        <v>2365</v>
      </c>
      <c r="L422" s="1" t="s">
        <v>2366</v>
      </c>
      <c r="M422" s="1" t="s">
        <v>54</v>
      </c>
      <c r="N422" s="1" t="s">
        <v>25</v>
      </c>
      <c r="P422" s="1" t="s">
        <v>27</v>
      </c>
      <c r="Q422" s="1" t="s">
        <v>2367</v>
      </c>
      <c r="R422" s="1" t="b">
        <f>COUNTIF(  Papers!G:G, RAW_DATA!Q422 ) = 0</f>
        <v>0</v>
      </c>
      <c r="S422" s="1" t="b">
        <f t="shared" si="1"/>
        <v>0</v>
      </c>
    </row>
    <row r="423" spans="1:19" ht="15.75" customHeight="1">
      <c r="A423" s="1" t="s">
        <v>2368</v>
      </c>
      <c r="B423" s="1" t="s">
        <v>2369</v>
      </c>
      <c r="C423" s="1">
        <v>2018</v>
      </c>
      <c r="D423" s="1" t="s">
        <v>2370</v>
      </c>
      <c r="E423" s="1">
        <v>54</v>
      </c>
      <c r="H423" s="1">
        <v>94</v>
      </c>
      <c r="I423" s="1">
        <v>109</v>
      </c>
      <c r="J423" s="1">
        <v>109</v>
      </c>
      <c r="K423" s="1" t="s">
        <v>2371</v>
      </c>
      <c r="L423" s="1" t="s">
        <v>2372</v>
      </c>
      <c r="M423" s="1" t="s">
        <v>54</v>
      </c>
      <c r="N423" s="1" t="s">
        <v>25</v>
      </c>
      <c r="P423" s="1" t="s">
        <v>27</v>
      </c>
      <c r="Q423" s="1" t="s">
        <v>2373</v>
      </c>
      <c r="R423" s="1" t="b">
        <f>COUNTIF(  Papers!G:G, RAW_DATA!Q423 ) = 0</f>
        <v>0</v>
      </c>
      <c r="S423" s="1" t="b">
        <f t="shared" si="1"/>
        <v>0</v>
      </c>
    </row>
    <row r="424" spans="1:19" ht="15.75" customHeight="1">
      <c r="A424" s="1" t="s">
        <v>2374</v>
      </c>
      <c r="B424" s="1" t="s">
        <v>2375</v>
      </c>
      <c r="C424" s="1">
        <v>2018</v>
      </c>
      <c r="D424" s="1" t="s">
        <v>2376</v>
      </c>
      <c r="E424" s="1">
        <v>20</v>
      </c>
      <c r="F424" s="1">
        <v>3</v>
      </c>
      <c r="G424" s="1">
        <v>8332477</v>
      </c>
      <c r="H424" s="1">
        <v>2169</v>
      </c>
      <c r="I424" s="1">
        <v>2197</v>
      </c>
      <c r="J424" s="1">
        <v>129</v>
      </c>
      <c r="K424" s="1" t="s">
        <v>2377</v>
      </c>
      <c r="L424" s="1" t="s">
        <v>2378</v>
      </c>
      <c r="M424" s="1" t="s">
        <v>54</v>
      </c>
      <c r="N424" s="1" t="s">
        <v>25</v>
      </c>
      <c r="P424" s="1" t="s">
        <v>27</v>
      </c>
      <c r="Q424" s="1" t="s">
        <v>2379</v>
      </c>
      <c r="R424" s="1" t="b">
        <f>COUNTIF(  Papers!G:G, RAW_DATA!Q424 ) = 0</f>
        <v>0</v>
      </c>
      <c r="S424" s="1" t="b">
        <f t="shared" si="1"/>
        <v>0</v>
      </c>
    </row>
    <row r="425" spans="1:19" ht="15.75" customHeight="1">
      <c r="A425" s="1" t="s">
        <v>2380</v>
      </c>
      <c r="B425" s="1" t="s">
        <v>2381</v>
      </c>
      <c r="C425" s="1">
        <v>2017</v>
      </c>
      <c r="D425" s="1" t="s">
        <v>619</v>
      </c>
      <c r="E425" s="1">
        <v>100</v>
      </c>
      <c r="H425" s="1">
        <v>32</v>
      </c>
      <c r="I425" s="1">
        <v>45</v>
      </c>
      <c r="J425" s="1">
        <v>128</v>
      </c>
      <c r="K425" s="1" t="s">
        <v>2382</v>
      </c>
      <c r="L425" s="1" t="s">
        <v>2383</v>
      </c>
      <c r="M425" s="1" t="s">
        <v>24</v>
      </c>
      <c r="N425" s="1" t="s">
        <v>25</v>
      </c>
      <c r="P425" s="1" t="s">
        <v>27</v>
      </c>
      <c r="Q425" s="1" t="s">
        <v>2384</v>
      </c>
      <c r="R425" s="1" t="b">
        <f>COUNTIF(  Papers!G:G, RAW_DATA!Q425 ) = 0</f>
        <v>0</v>
      </c>
      <c r="S425" s="1" t="b">
        <f t="shared" si="1"/>
        <v>0</v>
      </c>
    </row>
    <row r="426" spans="1:19" ht="15.75" customHeight="1">
      <c r="A426" s="1" t="s">
        <v>2385</v>
      </c>
      <c r="B426" s="1" t="s">
        <v>2386</v>
      </c>
      <c r="C426" s="1">
        <v>2019</v>
      </c>
      <c r="D426" s="1" t="s">
        <v>2387</v>
      </c>
      <c r="H426" s="1">
        <v>633</v>
      </c>
      <c r="I426" s="1">
        <v>644</v>
      </c>
      <c r="J426" s="1">
        <v>108</v>
      </c>
      <c r="K426" s="1" t="s">
        <v>2388</v>
      </c>
      <c r="L426" s="1" t="s">
        <v>2389</v>
      </c>
      <c r="M426" s="1" t="s">
        <v>169</v>
      </c>
      <c r="N426" s="1" t="s">
        <v>25</v>
      </c>
      <c r="O426" s="1" t="s">
        <v>41</v>
      </c>
      <c r="P426" s="1" t="s">
        <v>27</v>
      </c>
      <c r="Q426" s="1" t="s">
        <v>2390</v>
      </c>
      <c r="R426" s="1" t="b">
        <f>COUNTIF(  Papers!G:G, RAW_DATA!Q426 ) = 0</f>
        <v>0</v>
      </c>
      <c r="S426" s="1" t="b">
        <f t="shared" si="1"/>
        <v>0</v>
      </c>
    </row>
    <row r="427" spans="1:19" ht="15.75" customHeight="1">
      <c r="A427" s="1" t="s">
        <v>2391</v>
      </c>
      <c r="B427" s="1" t="s">
        <v>2392</v>
      </c>
      <c r="C427" s="1">
        <v>2023</v>
      </c>
      <c r="D427" s="1" t="s">
        <v>564</v>
      </c>
      <c r="E427" s="1">
        <v>82</v>
      </c>
      <c r="G427" s="1">
        <v>102013</v>
      </c>
      <c r="J427" s="1">
        <v>126</v>
      </c>
      <c r="K427" s="1" t="s">
        <v>2393</v>
      </c>
      <c r="L427" s="1" t="s">
        <v>2394</v>
      </c>
      <c r="M427" s="1" t="s">
        <v>54</v>
      </c>
      <c r="N427" s="1" t="s">
        <v>25</v>
      </c>
      <c r="O427" s="1" t="s">
        <v>100</v>
      </c>
      <c r="P427" s="1" t="s">
        <v>27</v>
      </c>
      <c r="Q427" s="1" t="s">
        <v>2395</v>
      </c>
      <c r="R427" s="1" t="b">
        <f>COUNTIF(  Papers!G:G, RAW_DATA!Q427 ) = 0</f>
        <v>0</v>
      </c>
      <c r="S427" s="1" t="b">
        <f t="shared" si="1"/>
        <v>0</v>
      </c>
    </row>
    <row r="428" spans="1:19" ht="15.75" customHeight="1">
      <c r="A428" s="1" t="s">
        <v>2396</v>
      </c>
      <c r="B428" s="1" t="s">
        <v>2397</v>
      </c>
      <c r="C428" s="1">
        <v>2022</v>
      </c>
      <c r="D428" s="1" t="s">
        <v>321</v>
      </c>
      <c r="E428" s="1">
        <v>119</v>
      </c>
      <c r="F428" s="1">
        <v>11</v>
      </c>
      <c r="G428" s="1" t="s">
        <v>2398</v>
      </c>
      <c r="J428" s="1">
        <v>109</v>
      </c>
      <c r="K428" s="1" t="s">
        <v>2399</v>
      </c>
      <c r="L428" s="1" t="s">
        <v>2400</v>
      </c>
      <c r="M428" s="1" t="s">
        <v>54</v>
      </c>
      <c r="N428" s="1" t="s">
        <v>25</v>
      </c>
      <c r="O428" s="1" t="s">
        <v>100</v>
      </c>
      <c r="P428" s="1" t="s">
        <v>27</v>
      </c>
      <c r="Q428" s="1" t="s">
        <v>2401</v>
      </c>
      <c r="R428" s="1" t="b">
        <f>COUNTIF(  Papers!G:G, RAW_DATA!Q428 ) = 0</f>
        <v>0</v>
      </c>
      <c r="S428" s="1" t="b">
        <f t="shared" si="1"/>
        <v>0</v>
      </c>
    </row>
    <row r="429" spans="1:19" ht="15.75" customHeight="1">
      <c r="A429" s="1" t="s">
        <v>2402</v>
      </c>
      <c r="B429" s="1" t="s">
        <v>2403</v>
      </c>
      <c r="C429" s="1">
        <v>2017</v>
      </c>
      <c r="D429" s="1" t="s">
        <v>206</v>
      </c>
      <c r="E429" s="1">
        <v>116</v>
      </c>
      <c r="H429" s="1">
        <v>40</v>
      </c>
      <c r="I429" s="1">
        <v>52</v>
      </c>
      <c r="J429" s="1">
        <v>109</v>
      </c>
      <c r="K429" s="1" t="s">
        <v>2404</v>
      </c>
      <c r="L429" s="1" t="s">
        <v>2405</v>
      </c>
      <c r="M429" s="1" t="s">
        <v>54</v>
      </c>
      <c r="N429" s="1" t="s">
        <v>25</v>
      </c>
      <c r="O429" s="1" t="s">
        <v>113</v>
      </c>
      <c r="P429" s="1" t="s">
        <v>27</v>
      </c>
      <c r="Q429" s="1" t="s">
        <v>2406</v>
      </c>
      <c r="R429" s="1" t="b">
        <f>COUNTIF(  Papers!G:G, RAW_DATA!Q429 ) = 0</f>
        <v>0</v>
      </c>
      <c r="S429" s="1" t="b">
        <f t="shared" si="1"/>
        <v>0</v>
      </c>
    </row>
    <row r="430" spans="1:19" ht="15.75" customHeight="1">
      <c r="A430" s="1" t="s">
        <v>2407</v>
      </c>
      <c r="B430" s="1" t="s">
        <v>2408</v>
      </c>
      <c r="C430" s="1">
        <v>2021</v>
      </c>
      <c r="D430" s="1" t="s">
        <v>403</v>
      </c>
      <c r="E430" s="1">
        <v>13</v>
      </c>
      <c r="F430" s="1">
        <v>8</v>
      </c>
      <c r="H430" s="1">
        <v>1899</v>
      </c>
      <c r="I430" s="1">
        <v>1909</v>
      </c>
      <c r="J430" s="1">
        <v>107</v>
      </c>
      <c r="K430" s="1" t="s">
        <v>2409</v>
      </c>
      <c r="L430" s="1" t="s">
        <v>2410</v>
      </c>
      <c r="M430" s="1" t="s">
        <v>54</v>
      </c>
      <c r="N430" s="1" t="s">
        <v>25</v>
      </c>
      <c r="O430" s="1" t="s">
        <v>55</v>
      </c>
      <c r="P430" s="1" t="s">
        <v>27</v>
      </c>
      <c r="Q430" s="1" t="s">
        <v>2411</v>
      </c>
      <c r="R430" s="1" t="b">
        <f>COUNTIF(  Papers!G:G, RAW_DATA!Q430 ) = 0</f>
        <v>0</v>
      </c>
      <c r="S430" s="1" t="b">
        <f t="shared" si="1"/>
        <v>0</v>
      </c>
    </row>
    <row r="431" spans="1:19" ht="15.75" customHeight="1">
      <c r="A431" s="1" t="s">
        <v>2412</v>
      </c>
      <c r="B431" s="1" t="s">
        <v>2413</v>
      </c>
      <c r="C431" s="1">
        <v>2023</v>
      </c>
      <c r="D431" s="1" t="s">
        <v>873</v>
      </c>
      <c r="E431" s="1">
        <v>69</v>
      </c>
      <c r="G431" s="1">
        <v>102538</v>
      </c>
      <c r="J431" s="1">
        <v>121</v>
      </c>
      <c r="K431" s="1" t="s">
        <v>2414</v>
      </c>
      <c r="L431" s="1" t="s">
        <v>2415</v>
      </c>
      <c r="M431" s="1" t="s">
        <v>54</v>
      </c>
      <c r="N431" s="1" t="s">
        <v>25</v>
      </c>
      <c r="O431" s="1" t="s">
        <v>100</v>
      </c>
      <c r="P431" s="1" t="s">
        <v>27</v>
      </c>
      <c r="Q431" s="1" t="s">
        <v>2416</v>
      </c>
      <c r="R431" s="1" t="b">
        <f>COUNTIF(  Papers!G:G, RAW_DATA!Q431 ) = 0</f>
        <v>0</v>
      </c>
      <c r="S431" s="1" t="b">
        <f t="shared" si="1"/>
        <v>0</v>
      </c>
    </row>
    <row r="432" spans="1:19" ht="15.75" customHeight="1">
      <c r="A432" s="1" t="s">
        <v>2417</v>
      </c>
      <c r="B432" s="1" t="s">
        <v>2418</v>
      </c>
      <c r="C432" s="1">
        <v>2021</v>
      </c>
      <c r="D432" s="1" t="s">
        <v>206</v>
      </c>
      <c r="E432" s="1">
        <v>162</v>
      </c>
      <c r="G432" s="1">
        <v>120334</v>
      </c>
      <c r="J432" s="1">
        <v>113</v>
      </c>
      <c r="K432" s="1" t="s">
        <v>2419</v>
      </c>
      <c r="L432" s="1" t="s">
        <v>2420</v>
      </c>
      <c r="M432" s="1" t="s">
        <v>54</v>
      </c>
      <c r="N432" s="1" t="s">
        <v>25</v>
      </c>
      <c r="O432" s="1" t="s">
        <v>113</v>
      </c>
      <c r="P432" s="1" t="s">
        <v>27</v>
      </c>
      <c r="Q432" s="1" t="s">
        <v>2421</v>
      </c>
      <c r="R432" s="1" t="b">
        <f>COUNTIF(  Papers!G:G, RAW_DATA!Q432 ) = 0</f>
        <v>0</v>
      </c>
      <c r="S432" s="1" t="b">
        <f t="shared" si="1"/>
        <v>0</v>
      </c>
    </row>
    <row r="433" spans="1:19" ht="15.75" customHeight="1">
      <c r="A433" s="1" t="s">
        <v>2422</v>
      </c>
      <c r="B433" s="1" t="s">
        <v>2423</v>
      </c>
      <c r="C433" s="1">
        <v>2024</v>
      </c>
      <c r="D433" s="1" t="s">
        <v>2424</v>
      </c>
      <c r="E433" s="1">
        <v>29</v>
      </c>
      <c r="F433" s="1">
        <v>10</v>
      </c>
      <c r="H433" s="1">
        <v>12167</v>
      </c>
      <c r="I433" s="1">
        <v>12195</v>
      </c>
      <c r="J433" s="1">
        <v>132</v>
      </c>
      <c r="K433" s="1" t="s">
        <v>2425</v>
      </c>
      <c r="L433" s="1" t="s">
        <v>2426</v>
      </c>
      <c r="M433" s="1" t="s">
        <v>54</v>
      </c>
      <c r="N433" s="1" t="s">
        <v>25</v>
      </c>
      <c r="P433" s="1" t="s">
        <v>27</v>
      </c>
      <c r="Q433" s="1" t="s">
        <v>2427</v>
      </c>
      <c r="R433" s="1" t="b">
        <f>COUNTIF(  Papers!G:G, RAW_DATA!Q433 ) = 0</f>
        <v>0</v>
      </c>
      <c r="S433" s="1" t="b">
        <f t="shared" si="1"/>
        <v>0</v>
      </c>
    </row>
    <row r="434" spans="1:19" ht="15.75" customHeight="1">
      <c r="A434" s="1" t="s">
        <v>2428</v>
      </c>
      <c r="B434" s="1" t="s">
        <v>2429</v>
      </c>
      <c r="C434" s="1">
        <v>2018</v>
      </c>
      <c r="D434" s="1" t="s">
        <v>304</v>
      </c>
      <c r="E434" s="1">
        <v>55</v>
      </c>
      <c r="H434" s="1">
        <v>464</v>
      </c>
      <c r="I434" s="1">
        <v>482</v>
      </c>
      <c r="J434" s="1">
        <v>119</v>
      </c>
      <c r="K434" s="1" t="s">
        <v>2430</v>
      </c>
      <c r="L434" s="1" t="s">
        <v>2431</v>
      </c>
      <c r="M434" s="1" t="s">
        <v>54</v>
      </c>
      <c r="N434" s="1" t="s">
        <v>25</v>
      </c>
      <c r="P434" s="1" t="s">
        <v>27</v>
      </c>
      <c r="Q434" s="1" t="s">
        <v>2432</v>
      </c>
      <c r="R434" s="1" t="b">
        <f>COUNTIF(  Papers!G:G, RAW_DATA!Q434 ) = 0</f>
        <v>0</v>
      </c>
      <c r="S434" s="1" t="b">
        <f t="shared" si="1"/>
        <v>0</v>
      </c>
    </row>
    <row r="435" spans="1:19" ht="15.75" customHeight="1">
      <c r="A435" s="1" t="s">
        <v>2433</v>
      </c>
      <c r="B435" s="1" t="s">
        <v>2434</v>
      </c>
      <c r="C435" s="1">
        <v>2022</v>
      </c>
      <c r="D435" s="1" t="s">
        <v>927</v>
      </c>
      <c r="E435" s="1">
        <v>12</v>
      </c>
      <c r="F435" s="1">
        <v>19</v>
      </c>
      <c r="G435" s="1">
        <v>9423</v>
      </c>
      <c r="J435" s="1">
        <v>105</v>
      </c>
      <c r="K435" s="1" t="s">
        <v>2435</v>
      </c>
      <c r="L435" s="1" t="s">
        <v>2436</v>
      </c>
      <c r="M435" s="1" t="s">
        <v>24</v>
      </c>
      <c r="N435" s="1" t="s">
        <v>25</v>
      </c>
      <c r="O435" s="1" t="s">
        <v>26</v>
      </c>
      <c r="P435" s="1" t="s">
        <v>27</v>
      </c>
      <c r="Q435" s="1" t="s">
        <v>2437</v>
      </c>
      <c r="R435" s="1" t="b">
        <f>COUNTIF(  Papers!G:G, RAW_DATA!Q435 ) = 0</f>
        <v>0</v>
      </c>
      <c r="S435" s="1" t="b">
        <f t="shared" si="1"/>
        <v>0</v>
      </c>
    </row>
    <row r="436" spans="1:19" ht="15.75" customHeight="1">
      <c r="A436" s="1" t="s">
        <v>2438</v>
      </c>
      <c r="B436" s="1" t="s">
        <v>2439</v>
      </c>
      <c r="C436" s="1">
        <v>2022</v>
      </c>
      <c r="D436" s="1" t="s">
        <v>2440</v>
      </c>
      <c r="E436" s="1">
        <v>358</v>
      </c>
      <c r="G436" s="1">
        <v>132034</v>
      </c>
      <c r="J436" s="1">
        <v>110</v>
      </c>
      <c r="K436" s="1" t="s">
        <v>2441</v>
      </c>
      <c r="L436" s="1" t="s">
        <v>2442</v>
      </c>
      <c r="M436" s="1" t="s">
        <v>54</v>
      </c>
      <c r="N436" s="1" t="s">
        <v>25</v>
      </c>
      <c r="O436" s="1" t="s">
        <v>100</v>
      </c>
      <c r="P436" s="1" t="s">
        <v>27</v>
      </c>
      <c r="Q436" s="1" t="s">
        <v>2443</v>
      </c>
      <c r="R436" s="1" t="b">
        <f>COUNTIF(  Papers!G:G, RAW_DATA!Q436 ) = 0</f>
        <v>0</v>
      </c>
      <c r="S436" s="1" t="b">
        <f t="shared" si="1"/>
        <v>0</v>
      </c>
    </row>
    <row r="437" spans="1:19" ht="15.75" customHeight="1">
      <c r="A437" s="1" t="s">
        <v>2444</v>
      </c>
      <c r="B437" s="1" t="s">
        <v>2445</v>
      </c>
      <c r="C437" s="1">
        <v>2021</v>
      </c>
      <c r="D437" s="1" t="s">
        <v>212</v>
      </c>
      <c r="E437" s="1">
        <v>37</v>
      </c>
      <c r="F437" s="1">
        <v>4</v>
      </c>
      <c r="H437" s="1">
        <v>308</v>
      </c>
      <c r="I437" s="1">
        <v>330</v>
      </c>
      <c r="J437" s="1">
        <v>129</v>
      </c>
      <c r="K437" s="1" t="s">
        <v>2446</v>
      </c>
      <c r="L437" s="1" t="s">
        <v>2447</v>
      </c>
      <c r="M437" s="1" t="s">
        <v>54</v>
      </c>
      <c r="N437" s="1" t="s">
        <v>25</v>
      </c>
      <c r="P437" s="1" t="s">
        <v>27</v>
      </c>
      <c r="Q437" s="1" t="s">
        <v>2448</v>
      </c>
      <c r="R437" s="1" t="b">
        <f>COUNTIF(  Papers!G:G, RAW_DATA!Q437 ) = 0</f>
        <v>0</v>
      </c>
      <c r="S437" s="1" t="b">
        <f t="shared" si="1"/>
        <v>0</v>
      </c>
    </row>
    <row r="438" spans="1:19" ht="15.75" customHeight="1">
      <c r="A438" s="1" t="s">
        <v>2449</v>
      </c>
      <c r="B438" s="1" t="s">
        <v>2450</v>
      </c>
      <c r="C438" s="1">
        <v>2024</v>
      </c>
      <c r="D438" s="1" t="s">
        <v>2451</v>
      </c>
      <c r="E438" s="1">
        <v>39</v>
      </c>
      <c r="F438" s="1">
        <v>3</v>
      </c>
      <c r="H438" s="1">
        <v>643</v>
      </c>
      <c r="I438" s="1">
        <v>656</v>
      </c>
      <c r="J438" s="1">
        <v>103</v>
      </c>
      <c r="K438" s="1" t="s">
        <v>2452</v>
      </c>
      <c r="L438" s="1" t="s">
        <v>2453</v>
      </c>
      <c r="M438" s="1" t="s">
        <v>54</v>
      </c>
      <c r="N438" s="1" t="s">
        <v>25</v>
      </c>
      <c r="O438" s="1" t="s">
        <v>100</v>
      </c>
      <c r="P438" s="1" t="s">
        <v>27</v>
      </c>
      <c r="Q438" s="1" t="s">
        <v>2454</v>
      </c>
      <c r="R438" s="1" t="b">
        <f>COUNTIF(  Papers!G:G, RAW_DATA!Q438 ) = 0</f>
        <v>0</v>
      </c>
      <c r="S438" s="1" t="b">
        <f t="shared" si="1"/>
        <v>0</v>
      </c>
    </row>
    <row r="439" spans="1:19" ht="15.75" customHeight="1">
      <c r="A439" s="1" t="s">
        <v>2455</v>
      </c>
      <c r="B439" s="1" t="s">
        <v>2456</v>
      </c>
      <c r="C439" s="1">
        <v>2019</v>
      </c>
      <c r="D439" s="1" t="s">
        <v>2457</v>
      </c>
      <c r="E439" s="1">
        <v>8</v>
      </c>
      <c r="F439" s="1">
        <v>1</v>
      </c>
      <c r="G439" s="1">
        <v>143</v>
      </c>
      <c r="J439" s="1">
        <v>103</v>
      </c>
      <c r="K439" s="1" t="s">
        <v>2458</v>
      </c>
      <c r="L439" s="1" t="s">
        <v>2459</v>
      </c>
      <c r="M439" s="1" t="s">
        <v>54</v>
      </c>
      <c r="N439" s="1" t="s">
        <v>25</v>
      </c>
      <c r="O439" s="1" t="s">
        <v>26</v>
      </c>
      <c r="P439" s="1" t="s">
        <v>27</v>
      </c>
      <c r="Q439" s="1" t="s">
        <v>2460</v>
      </c>
      <c r="R439" s="1" t="b">
        <f>COUNTIF(  Papers!G:G, RAW_DATA!Q439 ) = 0</f>
        <v>0</v>
      </c>
      <c r="S439" s="1" t="b">
        <f t="shared" si="1"/>
        <v>0</v>
      </c>
    </row>
    <row r="440" spans="1:19" ht="15.75" customHeight="1">
      <c r="A440" s="1" t="s">
        <v>2461</v>
      </c>
      <c r="B440" s="1" t="s">
        <v>2462</v>
      </c>
      <c r="C440" s="1">
        <v>2022</v>
      </c>
      <c r="D440" s="1" t="s">
        <v>873</v>
      </c>
      <c r="E440" s="1">
        <v>67</v>
      </c>
      <c r="G440" s="1">
        <v>102549</v>
      </c>
      <c r="J440" s="1">
        <v>101</v>
      </c>
      <c r="K440" s="1" t="s">
        <v>2463</v>
      </c>
      <c r="L440" s="1" t="s">
        <v>2464</v>
      </c>
      <c r="M440" s="1" t="s">
        <v>24</v>
      </c>
      <c r="N440" s="1" t="s">
        <v>25</v>
      </c>
      <c r="O440" s="1" t="s">
        <v>100</v>
      </c>
      <c r="P440" s="1" t="s">
        <v>27</v>
      </c>
      <c r="Q440" s="1" t="s">
        <v>2465</v>
      </c>
      <c r="R440" s="1" t="b">
        <f>COUNTIF(  Papers!G:G, RAW_DATA!Q440 ) = 0</f>
        <v>0</v>
      </c>
      <c r="S440" s="1" t="b">
        <f t="shared" si="1"/>
        <v>0</v>
      </c>
    </row>
    <row r="441" spans="1:19" ht="15.75" customHeight="1">
      <c r="A441" s="1" t="s">
        <v>2466</v>
      </c>
      <c r="B441" s="1" t="s">
        <v>2467</v>
      </c>
      <c r="C441" s="1">
        <v>2022</v>
      </c>
      <c r="D441" s="1" t="s">
        <v>2468</v>
      </c>
      <c r="E441" s="1">
        <v>127</v>
      </c>
      <c r="G441" s="1">
        <v>102285</v>
      </c>
      <c r="J441" s="1">
        <v>110</v>
      </c>
      <c r="K441" s="1" t="s">
        <v>2469</v>
      </c>
      <c r="L441" s="1" t="s">
        <v>2470</v>
      </c>
      <c r="M441" s="1" t="s">
        <v>54</v>
      </c>
      <c r="N441" s="1" t="s">
        <v>25</v>
      </c>
      <c r="P441" s="1" t="s">
        <v>27</v>
      </c>
      <c r="Q441" s="1" t="s">
        <v>2471</v>
      </c>
      <c r="R441" s="1" t="b">
        <f>COUNTIF(  Papers!G:G, RAW_DATA!Q441 ) = 0</f>
        <v>0</v>
      </c>
      <c r="S441" s="1" t="b">
        <f t="shared" si="1"/>
        <v>0</v>
      </c>
    </row>
    <row r="442" spans="1:19" ht="15.75" customHeight="1">
      <c r="A442" s="1" t="s">
        <v>2472</v>
      </c>
      <c r="B442" s="1" t="s">
        <v>2473</v>
      </c>
      <c r="C442" s="1">
        <v>2022</v>
      </c>
      <c r="D442" s="1" t="s">
        <v>727</v>
      </c>
      <c r="E442" s="1">
        <v>31</v>
      </c>
      <c r="F442" s="1">
        <v>4</v>
      </c>
      <c r="H442" s="1">
        <v>337</v>
      </c>
      <c r="I442" s="1">
        <v>373</v>
      </c>
      <c r="J442" s="1">
        <v>108</v>
      </c>
      <c r="K442" s="1" t="s">
        <v>2474</v>
      </c>
      <c r="L442" s="1" t="s">
        <v>2475</v>
      </c>
      <c r="M442" s="1" t="s">
        <v>54</v>
      </c>
      <c r="N442" s="1" t="s">
        <v>25</v>
      </c>
      <c r="O442" s="1" t="s">
        <v>120</v>
      </c>
      <c r="P442" s="1" t="s">
        <v>27</v>
      </c>
      <c r="Q442" s="1" t="s">
        <v>2476</v>
      </c>
      <c r="R442" s="1" t="b">
        <f>COUNTIF(  Papers!G:G, RAW_DATA!Q442 ) = 0</f>
        <v>0</v>
      </c>
      <c r="S442" s="1" t="b">
        <f t="shared" si="1"/>
        <v>0</v>
      </c>
    </row>
    <row r="443" spans="1:19" ht="15.75" customHeight="1">
      <c r="A443" s="1" t="s">
        <v>2477</v>
      </c>
      <c r="B443" s="1" t="s">
        <v>2478</v>
      </c>
      <c r="C443" s="1">
        <v>2022</v>
      </c>
      <c r="D443" s="1" t="s">
        <v>2479</v>
      </c>
      <c r="E443" s="1">
        <v>139</v>
      </c>
      <c r="G443" s="1">
        <v>104298</v>
      </c>
      <c r="J443" s="1">
        <v>105</v>
      </c>
      <c r="K443" s="1" t="s">
        <v>2480</v>
      </c>
      <c r="L443" s="1" t="s">
        <v>2481</v>
      </c>
      <c r="M443" s="1" t="s">
        <v>24</v>
      </c>
      <c r="N443" s="1" t="s">
        <v>25</v>
      </c>
      <c r="O443" s="1" t="s">
        <v>55</v>
      </c>
      <c r="P443" s="1" t="s">
        <v>27</v>
      </c>
      <c r="Q443" s="1" t="s">
        <v>2482</v>
      </c>
      <c r="R443" s="1" t="b">
        <f>COUNTIF(  Papers!G:G, RAW_DATA!Q443 ) = 0</f>
        <v>0</v>
      </c>
      <c r="S443" s="1" t="b">
        <f t="shared" si="1"/>
        <v>0</v>
      </c>
    </row>
    <row r="444" spans="1:19" ht="15.75" customHeight="1">
      <c r="A444" s="1" t="s">
        <v>2483</v>
      </c>
      <c r="B444" s="1" t="s">
        <v>2484</v>
      </c>
      <c r="C444" s="1">
        <v>2016</v>
      </c>
      <c r="D444" s="1" t="s">
        <v>2485</v>
      </c>
      <c r="G444" s="1">
        <v>7745163</v>
      </c>
      <c r="H444" s="1">
        <v>493</v>
      </c>
      <c r="I444" s="1">
        <v>500</v>
      </c>
      <c r="J444" s="1">
        <v>123</v>
      </c>
      <c r="K444" s="1" t="s">
        <v>2486</v>
      </c>
      <c r="L444" s="1" t="s">
        <v>2487</v>
      </c>
      <c r="M444" s="1" t="s">
        <v>169</v>
      </c>
      <c r="N444" s="1" t="s">
        <v>25</v>
      </c>
      <c r="O444" s="1" t="s">
        <v>113</v>
      </c>
      <c r="P444" s="1" t="s">
        <v>27</v>
      </c>
      <c r="Q444" s="1" t="s">
        <v>2488</v>
      </c>
      <c r="R444" s="1" t="b">
        <f>COUNTIF(  Papers!G:G, RAW_DATA!Q444 ) = 0</f>
        <v>0</v>
      </c>
      <c r="S444" s="1" t="b">
        <f t="shared" si="1"/>
        <v>0</v>
      </c>
    </row>
    <row r="445" spans="1:19" ht="15.75" customHeight="1">
      <c r="A445" s="1" t="s">
        <v>2489</v>
      </c>
      <c r="B445" s="1" t="s">
        <v>2490</v>
      </c>
      <c r="C445" s="1">
        <v>2023</v>
      </c>
      <c r="D445" s="1" t="s">
        <v>247</v>
      </c>
      <c r="G445" s="1">
        <v>759</v>
      </c>
      <c r="J445" s="1">
        <v>102</v>
      </c>
      <c r="K445" s="1" t="s">
        <v>2491</v>
      </c>
      <c r="L445" s="1" t="s">
        <v>2492</v>
      </c>
      <c r="M445" s="1" t="s">
        <v>169</v>
      </c>
      <c r="N445" s="1" t="s">
        <v>25</v>
      </c>
      <c r="O445" s="1" t="s">
        <v>113</v>
      </c>
      <c r="P445" s="1" t="s">
        <v>27</v>
      </c>
      <c r="Q445" s="1" t="s">
        <v>2493</v>
      </c>
      <c r="R445" s="1" t="b">
        <f>COUNTIF(  Papers!G:G, RAW_DATA!Q445 ) = 0</f>
        <v>0</v>
      </c>
      <c r="S445" s="1" t="b">
        <f t="shared" si="1"/>
        <v>0</v>
      </c>
    </row>
    <row r="446" spans="1:19" ht="15.75" customHeight="1">
      <c r="A446" s="1" t="s">
        <v>2494</v>
      </c>
      <c r="B446" s="1" t="s">
        <v>2495</v>
      </c>
      <c r="C446" s="1">
        <v>2020</v>
      </c>
      <c r="D446" s="1" t="s">
        <v>2496</v>
      </c>
      <c r="E446" s="1">
        <v>149</v>
      </c>
      <c r="F446" s="1">
        <v>3</v>
      </c>
      <c r="H446" s="1">
        <v>501</v>
      </c>
      <c r="I446" s="1">
        <v>517</v>
      </c>
      <c r="J446" s="1">
        <v>102</v>
      </c>
      <c r="K446" s="1" t="s">
        <v>2497</v>
      </c>
      <c r="L446" s="1" t="s">
        <v>2498</v>
      </c>
      <c r="M446" s="1" t="s">
        <v>54</v>
      </c>
      <c r="N446" s="1" t="s">
        <v>25</v>
      </c>
      <c r="P446" s="1" t="s">
        <v>27</v>
      </c>
      <c r="Q446" s="1" t="s">
        <v>2499</v>
      </c>
      <c r="R446" s="1" t="b">
        <f>COUNTIF(  Papers!G:G, RAW_DATA!Q446 ) = 0</f>
        <v>0</v>
      </c>
      <c r="S446" s="1" t="b">
        <f t="shared" si="1"/>
        <v>0</v>
      </c>
    </row>
    <row r="447" spans="1:19" ht="15.75" customHeight="1">
      <c r="A447" s="1" t="s">
        <v>2500</v>
      </c>
      <c r="B447" s="1" t="s">
        <v>2501</v>
      </c>
      <c r="C447" s="1">
        <v>2024</v>
      </c>
      <c r="D447" s="1" t="s">
        <v>1123</v>
      </c>
      <c r="E447" s="1">
        <v>26</v>
      </c>
      <c r="F447" s="1">
        <v>3</v>
      </c>
      <c r="H447" s="1">
        <v>921</v>
      </c>
      <c r="I447" s="1">
        <v>942</v>
      </c>
      <c r="J447" s="1">
        <v>129</v>
      </c>
      <c r="K447" s="1" t="s">
        <v>2502</v>
      </c>
      <c r="L447" s="1" t="s">
        <v>2503</v>
      </c>
      <c r="M447" s="1" t="s">
        <v>54</v>
      </c>
      <c r="N447" s="1" t="s">
        <v>25</v>
      </c>
      <c r="O447" s="1" t="s">
        <v>100</v>
      </c>
      <c r="P447" s="1" t="s">
        <v>27</v>
      </c>
      <c r="Q447" s="1" t="s">
        <v>2504</v>
      </c>
      <c r="R447" s="1" t="b">
        <f>COUNTIF(  Papers!G:G, RAW_DATA!Q447 ) = 0</f>
        <v>0</v>
      </c>
      <c r="S447" s="1" t="b">
        <f t="shared" si="1"/>
        <v>0</v>
      </c>
    </row>
    <row r="448" spans="1:19" ht="15.75" customHeight="1">
      <c r="A448" s="1" t="s">
        <v>2505</v>
      </c>
      <c r="B448" s="1" t="s">
        <v>2506</v>
      </c>
      <c r="C448" s="1">
        <v>2022</v>
      </c>
      <c r="D448" s="1" t="s">
        <v>443</v>
      </c>
      <c r="H448" s="1">
        <v>794</v>
      </c>
      <c r="I448" s="1">
        <v>806</v>
      </c>
      <c r="J448" s="1">
        <v>119</v>
      </c>
      <c r="K448" s="1" t="s">
        <v>2507</v>
      </c>
      <c r="L448" s="1" t="s">
        <v>2508</v>
      </c>
      <c r="M448" s="1" t="s">
        <v>169</v>
      </c>
      <c r="N448" s="1" t="s">
        <v>25</v>
      </c>
      <c r="O448" s="1" t="s">
        <v>113</v>
      </c>
      <c r="P448" s="1" t="s">
        <v>27</v>
      </c>
      <c r="Q448" s="1" t="s">
        <v>2509</v>
      </c>
      <c r="R448" s="1" t="b">
        <f>COUNTIF(  Papers!G:G, RAW_DATA!Q448 ) = 0</f>
        <v>0</v>
      </c>
      <c r="S448" s="1" t="b">
        <f t="shared" si="1"/>
        <v>0</v>
      </c>
    </row>
    <row r="449" spans="1:19" ht="15.75" customHeight="1">
      <c r="A449" s="1" t="s">
        <v>2510</v>
      </c>
      <c r="B449" s="1" t="s">
        <v>2511</v>
      </c>
      <c r="C449" s="1">
        <v>2022</v>
      </c>
      <c r="D449" s="1" t="s">
        <v>2512</v>
      </c>
      <c r="E449" s="1">
        <v>35</v>
      </c>
      <c r="F449" s="1">
        <v>9</v>
      </c>
      <c r="H449" s="1">
        <v>109</v>
      </c>
      <c r="I449" s="1">
        <v>135</v>
      </c>
      <c r="J449" s="1">
        <v>127</v>
      </c>
      <c r="K449" s="1" t="s">
        <v>2513</v>
      </c>
      <c r="L449" s="1" t="s">
        <v>2514</v>
      </c>
      <c r="M449" s="1" t="s">
        <v>54</v>
      </c>
      <c r="N449" s="1" t="s">
        <v>25</v>
      </c>
      <c r="O449" s="1" t="s">
        <v>120</v>
      </c>
      <c r="P449" s="1" t="s">
        <v>27</v>
      </c>
      <c r="Q449" s="1" t="s">
        <v>2515</v>
      </c>
      <c r="R449" s="1" t="b">
        <f>COUNTIF(  Papers!G:G, RAW_DATA!Q449 ) = 0</f>
        <v>0</v>
      </c>
      <c r="S449" s="1" t="b">
        <f t="shared" si="1"/>
        <v>0</v>
      </c>
    </row>
    <row r="450" spans="1:19" ht="15.75" customHeight="1">
      <c r="A450" s="1" t="s">
        <v>2516</v>
      </c>
      <c r="B450" s="1" t="s">
        <v>2517</v>
      </c>
      <c r="C450" s="1">
        <v>2018</v>
      </c>
      <c r="D450" s="1" t="s">
        <v>59</v>
      </c>
      <c r="E450" s="1">
        <v>96</v>
      </c>
      <c r="H450" s="1">
        <v>290</v>
      </c>
      <c r="I450" s="1">
        <v>303</v>
      </c>
      <c r="J450" s="1">
        <v>126</v>
      </c>
      <c r="K450" s="1" t="s">
        <v>2518</v>
      </c>
      <c r="L450" s="1" t="s">
        <v>2519</v>
      </c>
      <c r="M450" s="1" t="s">
        <v>54</v>
      </c>
      <c r="N450" s="1" t="s">
        <v>25</v>
      </c>
      <c r="P450" s="1" t="s">
        <v>27</v>
      </c>
      <c r="Q450" s="1" t="s">
        <v>2520</v>
      </c>
      <c r="R450" s="1" t="b">
        <f>COUNTIF(  Papers!G:G, RAW_DATA!Q450 ) = 0</f>
        <v>0</v>
      </c>
      <c r="S450" s="1" t="b">
        <f t="shared" si="1"/>
        <v>0</v>
      </c>
    </row>
    <row r="451" spans="1:19" ht="15.75" customHeight="1">
      <c r="A451" s="1" t="s">
        <v>2521</v>
      </c>
      <c r="B451" s="1" t="s">
        <v>2522</v>
      </c>
      <c r="C451" s="1">
        <v>2022</v>
      </c>
      <c r="D451" s="1" t="s">
        <v>247</v>
      </c>
      <c r="G451" s="1">
        <v>54</v>
      </c>
      <c r="J451" s="1">
        <v>119</v>
      </c>
      <c r="K451" s="1" t="s">
        <v>2523</v>
      </c>
      <c r="L451" s="1" t="s">
        <v>2524</v>
      </c>
      <c r="M451" s="1" t="s">
        <v>169</v>
      </c>
      <c r="N451" s="1" t="s">
        <v>25</v>
      </c>
      <c r="O451" s="1" t="s">
        <v>324</v>
      </c>
      <c r="P451" s="1" t="s">
        <v>27</v>
      </c>
      <c r="Q451" s="1" t="s">
        <v>2525</v>
      </c>
      <c r="R451" s="1" t="b">
        <f>COUNTIF(  Papers!G:G, RAW_DATA!Q451 ) = 0</f>
        <v>0</v>
      </c>
      <c r="S451" s="1" t="b">
        <f t="shared" si="1"/>
        <v>0</v>
      </c>
    </row>
    <row r="452" spans="1:19" ht="15.75" customHeight="1">
      <c r="A452" s="1" t="s">
        <v>2526</v>
      </c>
      <c r="B452" s="1" t="s">
        <v>2527</v>
      </c>
      <c r="C452" s="1">
        <v>2018</v>
      </c>
      <c r="D452" s="1" t="s">
        <v>2528</v>
      </c>
      <c r="E452" s="1">
        <v>102</v>
      </c>
      <c r="H452" s="1">
        <v>1</v>
      </c>
      <c r="I452" s="1">
        <v>46</v>
      </c>
      <c r="J452" s="1">
        <v>101</v>
      </c>
      <c r="K452" s="1" t="s">
        <v>2529</v>
      </c>
      <c r="L452" s="1" t="s">
        <v>2530</v>
      </c>
      <c r="M452" s="1" t="s">
        <v>24</v>
      </c>
      <c r="N452" s="1" t="s">
        <v>25</v>
      </c>
      <c r="O452" s="1" t="s">
        <v>113</v>
      </c>
      <c r="P452" s="1" t="s">
        <v>27</v>
      </c>
      <c r="Q452" s="1" t="s">
        <v>2531</v>
      </c>
      <c r="R452" s="1" t="b">
        <f>COUNTIF(  Papers!G:G, RAW_DATA!Q452 ) = 0</f>
        <v>0</v>
      </c>
      <c r="S452" s="1" t="b">
        <f t="shared" si="1"/>
        <v>0</v>
      </c>
    </row>
    <row r="453" spans="1:19" ht="15.75" customHeight="1">
      <c r="A453" s="1" t="s">
        <v>2532</v>
      </c>
      <c r="B453" s="1" t="s">
        <v>2533</v>
      </c>
      <c r="C453" s="1">
        <v>2022</v>
      </c>
      <c r="D453" s="1" t="s">
        <v>2534</v>
      </c>
      <c r="E453" s="1">
        <v>51</v>
      </c>
      <c r="H453" s="1">
        <v>2327</v>
      </c>
      <c r="I453" s="1">
        <v>2331</v>
      </c>
      <c r="J453" s="1">
        <v>110</v>
      </c>
      <c r="K453" s="1" t="s">
        <v>2535</v>
      </c>
      <c r="L453" s="1" t="s">
        <v>2536</v>
      </c>
      <c r="M453" s="1" t="s">
        <v>169</v>
      </c>
      <c r="N453" s="1" t="s">
        <v>25</v>
      </c>
      <c r="P453" s="1" t="s">
        <v>27</v>
      </c>
      <c r="Q453" s="1" t="s">
        <v>2537</v>
      </c>
      <c r="R453" s="1" t="b">
        <f>COUNTIF(  Papers!G:G, RAW_DATA!Q453 ) = 0</f>
        <v>0</v>
      </c>
      <c r="S453" s="1" t="b">
        <f t="shared" si="1"/>
        <v>0</v>
      </c>
    </row>
    <row r="454" spans="1:19" ht="15.75" customHeight="1">
      <c r="A454" s="1" t="s">
        <v>2538</v>
      </c>
      <c r="B454" s="1" t="s">
        <v>2539</v>
      </c>
      <c r="C454" s="1">
        <v>2021</v>
      </c>
      <c r="D454" s="1" t="s">
        <v>247</v>
      </c>
      <c r="J454" s="1">
        <v>108</v>
      </c>
      <c r="K454" s="1" t="s">
        <v>2540</v>
      </c>
      <c r="L454" s="1" t="s">
        <v>2541</v>
      </c>
      <c r="M454" s="1" t="s">
        <v>169</v>
      </c>
      <c r="N454" s="1" t="s">
        <v>25</v>
      </c>
      <c r="P454" s="1" t="s">
        <v>27</v>
      </c>
      <c r="Q454" s="1" t="s">
        <v>2542</v>
      </c>
      <c r="R454" s="1" t="b">
        <f>COUNTIF(  Papers!G:G, RAW_DATA!Q454 ) = 0</f>
        <v>0</v>
      </c>
      <c r="S454" s="1" t="b">
        <f t="shared" si="1"/>
        <v>0</v>
      </c>
    </row>
    <row r="455" spans="1:19" ht="15.75" customHeight="1">
      <c r="A455" s="1" t="s">
        <v>2543</v>
      </c>
      <c r="B455" s="1" t="s">
        <v>2544</v>
      </c>
      <c r="C455" s="1">
        <v>2024</v>
      </c>
      <c r="D455" s="1" t="s">
        <v>2545</v>
      </c>
      <c r="E455" s="1">
        <v>19</v>
      </c>
      <c r="F455" s="1">
        <v>5</v>
      </c>
      <c r="H455" s="1">
        <v>722</v>
      </c>
      <c r="I455" s="1">
        <v>734</v>
      </c>
      <c r="J455" s="1">
        <v>125</v>
      </c>
      <c r="K455" s="1" t="s">
        <v>2546</v>
      </c>
      <c r="L455" s="1" t="s">
        <v>2547</v>
      </c>
      <c r="M455" s="1" t="s">
        <v>54</v>
      </c>
      <c r="N455" s="1" t="s">
        <v>25</v>
      </c>
      <c r="O455" s="1" t="s">
        <v>100</v>
      </c>
      <c r="P455" s="1" t="s">
        <v>27</v>
      </c>
      <c r="Q455" s="1" t="s">
        <v>2548</v>
      </c>
      <c r="R455" s="1" t="b">
        <f>COUNTIF(  Papers!G:G, RAW_DATA!Q455 ) = 0</f>
        <v>0</v>
      </c>
      <c r="S455" s="1" t="b">
        <f t="shared" si="1"/>
        <v>0</v>
      </c>
    </row>
    <row r="456" spans="1:19" ht="15.75" customHeight="1">
      <c r="A456" s="1" t="s">
        <v>2549</v>
      </c>
      <c r="B456" s="1" t="s">
        <v>2550</v>
      </c>
      <c r="C456" s="1">
        <v>2023</v>
      </c>
      <c r="D456" s="1" t="s">
        <v>2551</v>
      </c>
      <c r="J456" s="1">
        <v>116</v>
      </c>
      <c r="K456" s="1" t="s">
        <v>2552</v>
      </c>
      <c r="L456" s="1" t="s">
        <v>2553</v>
      </c>
      <c r="M456" s="1" t="s">
        <v>169</v>
      </c>
      <c r="N456" s="1" t="s">
        <v>25</v>
      </c>
      <c r="P456" s="1" t="s">
        <v>27</v>
      </c>
      <c r="Q456" s="1" t="s">
        <v>2554</v>
      </c>
      <c r="R456" s="1" t="b">
        <f>COUNTIF(  Papers!G:G, RAW_DATA!Q456 ) = 0</f>
        <v>0</v>
      </c>
      <c r="S456" s="1" t="b">
        <f t="shared" si="1"/>
        <v>0</v>
      </c>
    </row>
    <row r="457" spans="1:19" ht="15.75" customHeight="1">
      <c r="A457" s="1" t="s">
        <v>2555</v>
      </c>
      <c r="B457" s="1" t="s">
        <v>2556</v>
      </c>
      <c r="C457" s="1">
        <v>2023</v>
      </c>
      <c r="D457" s="1" t="s">
        <v>117</v>
      </c>
      <c r="E457" s="1">
        <v>316</v>
      </c>
      <c r="G457" s="1">
        <v>103839</v>
      </c>
      <c r="J457" s="1">
        <v>111</v>
      </c>
      <c r="K457" s="1" t="s">
        <v>2557</v>
      </c>
      <c r="L457" s="1" t="s">
        <v>2558</v>
      </c>
      <c r="M457" s="1" t="s">
        <v>54</v>
      </c>
      <c r="N457" s="1" t="s">
        <v>25</v>
      </c>
      <c r="O457" s="1" t="s">
        <v>100</v>
      </c>
      <c r="P457" s="1" t="s">
        <v>27</v>
      </c>
      <c r="Q457" s="1" t="s">
        <v>2559</v>
      </c>
      <c r="R457" s="1" t="b">
        <f>COUNTIF(  Papers!G:G, RAW_DATA!Q457 ) = 0</f>
        <v>0</v>
      </c>
      <c r="S457" s="1" t="b">
        <f t="shared" si="1"/>
        <v>0</v>
      </c>
    </row>
    <row r="458" spans="1:19" ht="15.75" customHeight="1">
      <c r="A458" s="1" t="s">
        <v>2560</v>
      </c>
      <c r="B458" s="1" t="s">
        <v>2561</v>
      </c>
      <c r="C458" s="1">
        <v>2020</v>
      </c>
      <c r="D458" s="1" t="s">
        <v>838</v>
      </c>
      <c r="E458" s="1">
        <v>8</v>
      </c>
      <c r="H458" s="1">
        <v>112</v>
      </c>
      <c r="I458" s="1">
        <v>121</v>
      </c>
      <c r="J458" s="1">
        <v>106</v>
      </c>
      <c r="K458" s="1" t="s">
        <v>2562</v>
      </c>
      <c r="L458" s="1" t="s">
        <v>2563</v>
      </c>
      <c r="M458" s="1" t="s">
        <v>169</v>
      </c>
      <c r="N458" s="1" t="s">
        <v>25</v>
      </c>
      <c r="O458" s="1" t="s">
        <v>26</v>
      </c>
      <c r="P458" s="1" t="s">
        <v>27</v>
      </c>
      <c r="Q458" s="1" t="s">
        <v>2564</v>
      </c>
      <c r="R458" s="1" t="b">
        <f>COUNTIF(  Papers!G:G, RAW_DATA!Q458 ) = 0</f>
        <v>0</v>
      </c>
      <c r="S458" s="1" t="b">
        <f t="shared" si="1"/>
        <v>0</v>
      </c>
    </row>
    <row r="459" spans="1:19" ht="15.75" customHeight="1">
      <c r="A459" s="1" t="s">
        <v>2565</v>
      </c>
      <c r="B459" s="1" t="s">
        <v>2566</v>
      </c>
      <c r="C459" s="1">
        <v>2019</v>
      </c>
      <c r="D459" s="1" t="s">
        <v>2567</v>
      </c>
      <c r="E459" s="1">
        <v>7</v>
      </c>
      <c r="F459" s="1">
        <v>2</v>
      </c>
      <c r="H459" s="1">
        <v>1353</v>
      </c>
      <c r="I459" s="1">
        <v>1376</v>
      </c>
      <c r="J459" s="1">
        <v>115</v>
      </c>
      <c r="K459" s="1" t="s">
        <v>2568</v>
      </c>
      <c r="L459" s="1" t="s">
        <v>2569</v>
      </c>
      <c r="M459" s="1" t="s">
        <v>54</v>
      </c>
      <c r="N459" s="1" t="s">
        <v>25</v>
      </c>
      <c r="O459" s="1" t="s">
        <v>26</v>
      </c>
      <c r="P459" s="1" t="s">
        <v>27</v>
      </c>
      <c r="Q459" s="1" t="s">
        <v>2570</v>
      </c>
      <c r="R459" s="1" t="b">
        <f>COUNTIF(  Papers!G:G, RAW_DATA!Q459 ) = 0</f>
        <v>0</v>
      </c>
      <c r="S459" s="1" t="b">
        <f t="shared" si="1"/>
        <v>0</v>
      </c>
    </row>
    <row r="460" spans="1:19" ht="15.75" customHeight="1">
      <c r="A460" s="1" t="s">
        <v>2571</v>
      </c>
      <c r="B460" s="1" t="s">
        <v>2572</v>
      </c>
      <c r="C460" s="1">
        <v>2022</v>
      </c>
      <c r="D460" s="1" t="s">
        <v>2573</v>
      </c>
      <c r="E460" s="1">
        <v>10</v>
      </c>
      <c r="F460" s="1">
        <v>1</v>
      </c>
      <c r="G460" s="1" t="s">
        <v>2574</v>
      </c>
      <c r="J460" s="1">
        <v>104</v>
      </c>
      <c r="K460" s="1" t="s">
        <v>2575</v>
      </c>
      <c r="L460" s="1" t="s">
        <v>2576</v>
      </c>
      <c r="M460" s="1" t="s">
        <v>54</v>
      </c>
      <c r="N460" s="1" t="s">
        <v>25</v>
      </c>
      <c r="O460" s="1" t="s">
        <v>26</v>
      </c>
      <c r="P460" s="1" t="s">
        <v>27</v>
      </c>
      <c r="Q460" s="1" t="s">
        <v>2577</v>
      </c>
      <c r="R460" s="1" t="b">
        <f>COUNTIF(  Papers!G:G, RAW_DATA!Q460 ) = 0</f>
        <v>0</v>
      </c>
      <c r="S460" s="1" t="b">
        <f t="shared" si="1"/>
        <v>0</v>
      </c>
    </row>
    <row r="461" spans="1:19" ht="15.75" customHeight="1">
      <c r="A461" s="1" t="s">
        <v>2578</v>
      </c>
      <c r="B461" s="1" t="s">
        <v>2579</v>
      </c>
      <c r="C461" s="1">
        <v>2020</v>
      </c>
      <c r="D461" s="1" t="s">
        <v>2580</v>
      </c>
      <c r="H461" s="1">
        <v>40</v>
      </c>
      <c r="I461" s="1">
        <v>47</v>
      </c>
      <c r="J461" s="1">
        <v>122</v>
      </c>
      <c r="K461" s="1" t="s">
        <v>2581</v>
      </c>
      <c r="L461" s="1" t="s">
        <v>2582</v>
      </c>
      <c r="M461" s="1" t="s">
        <v>169</v>
      </c>
      <c r="N461" s="1" t="s">
        <v>25</v>
      </c>
      <c r="P461" s="1" t="s">
        <v>27</v>
      </c>
      <c r="Q461" s="1" t="s">
        <v>2583</v>
      </c>
      <c r="R461" s="1" t="b">
        <f>COUNTIF(  Papers!G:G, RAW_DATA!Q461 ) = 0</f>
        <v>0</v>
      </c>
      <c r="S461" s="1" t="b">
        <f t="shared" si="1"/>
        <v>0</v>
      </c>
    </row>
    <row r="462" spans="1:19" ht="15.75" customHeight="1">
      <c r="A462" s="1" t="s">
        <v>2584</v>
      </c>
      <c r="B462" s="1" t="s">
        <v>2585</v>
      </c>
      <c r="C462" s="1">
        <v>2022</v>
      </c>
      <c r="D462" s="1" t="s">
        <v>2424</v>
      </c>
      <c r="E462" s="1">
        <v>27</v>
      </c>
      <c r="F462" s="1">
        <v>8</v>
      </c>
      <c r="H462" s="1">
        <v>11635</v>
      </c>
      <c r="I462" s="1">
        <v>11667</v>
      </c>
      <c r="J462" s="1">
        <v>110</v>
      </c>
      <c r="K462" s="1" t="s">
        <v>2586</v>
      </c>
      <c r="L462" s="1" t="s">
        <v>2587</v>
      </c>
      <c r="M462" s="1" t="s">
        <v>54</v>
      </c>
      <c r="N462" s="1" t="s">
        <v>25</v>
      </c>
      <c r="P462" s="1" t="s">
        <v>27</v>
      </c>
      <c r="Q462" s="1" t="s">
        <v>2588</v>
      </c>
      <c r="R462" s="1" t="b">
        <f>COUNTIF(  Papers!G:G, RAW_DATA!Q462 ) = 0</f>
        <v>0</v>
      </c>
      <c r="S462" s="1" t="b">
        <f t="shared" si="1"/>
        <v>0</v>
      </c>
    </row>
    <row r="463" spans="1:19" ht="15.75" customHeight="1">
      <c r="A463" s="1" t="s">
        <v>2589</v>
      </c>
      <c r="B463" s="1" t="s">
        <v>2590</v>
      </c>
      <c r="C463" s="1">
        <v>2017</v>
      </c>
      <c r="D463" s="1" t="s">
        <v>247</v>
      </c>
      <c r="E463" s="1" t="s">
        <v>1805</v>
      </c>
      <c r="H463" s="1">
        <v>6620</v>
      </c>
      <c r="I463" s="1">
        <v>6631</v>
      </c>
      <c r="J463" s="1">
        <v>110</v>
      </c>
      <c r="K463" s="1" t="s">
        <v>2591</v>
      </c>
      <c r="L463" s="1" t="s">
        <v>2592</v>
      </c>
      <c r="M463" s="1" t="s">
        <v>169</v>
      </c>
      <c r="N463" s="1" t="s">
        <v>25</v>
      </c>
      <c r="P463" s="1" t="s">
        <v>27</v>
      </c>
      <c r="Q463" s="1" t="s">
        <v>2593</v>
      </c>
      <c r="R463" s="1" t="b">
        <f>COUNTIF(  Papers!G:G, RAW_DATA!Q463 ) = 0</f>
        <v>0</v>
      </c>
      <c r="S463" s="1" t="b">
        <f t="shared" si="1"/>
        <v>0</v>
      </c>
    </row>
    <row r="464" spans="1:19" ht="15.75" customHeight="1">
      <c r="A464" s="1" t="s">
        <v>2594</v>
      </c>
      <c r="B464" s="1" t="s">
        <v>2595</v>
      </c>
      <c r="C464" s="1">
        <v>2024</v>
      </c>
      <c r="D464" s="1" t="s">
        <v>927</v>
      </c>
      <c r="E464" s="1">
        <v>14</v>
      </c>
      <c r="F464" s="1">
        <v>14</v>
      </c>
      <c r="G464" s="1">
        <v>6214</v>
      </c>
      <c r="J464" s="1">
        <v>130</v>
      </c>
      <c r="K464" s="1" t="s">
        <v>2596</v>
      </c>
      <c r="L464" s="1" t="s">
        <v>2597</v>
      </c>
      <c r="M464" s="1" t="s">
        <v>24</v>
      </c>
      <c r="N464" s="1" t="s">
        <v>25</v>
      </c>
      <c r="O464" s="1" t="s">
        <v>26</v>
      </c>
      <c r="P464" s="1" t="s">
        <v>27</v>
      </c>
      <c r="Q464" s="1" t="s">
        <v>2598</v>
      </c>
      <c r="R464" s="1" t="b">
        <f>COUNTIF(  Papers!G:G, RAW_DATA!Q464 ) = 0</f>
        <v>0</v>
      </c>
      <c r="S464" s="1" t="b">
        <f t="shared" si="1"/>
        <v>0</v>
      </c>
    </row>
    <row r="465" spans="1:19" ht="15.75" customHeight="1">
      <c r="A465" s="1" t="s">
        <v>2599</v>
      </c>
      <c r="B465" s="1" t="s">
        <v>2600</v>
      </c>
      <c r="C465" s="1">
        <v>2021</v>
      </c>
      <c r="D465" s="1" t="s">
        <v>247</v>
      </c>
      <c r="J465" s="1">
        <v>122</v>
      </c>
      <c r="K465" s="1" t="s">
        <v>2601</v>
      </c>
      <c r="L465" s="1" t="s">
        <v>2602</v>
      </c>
      <c r="M465" s="1" t="s">
        <v>169</v>
      </c>
      <c r="N465" s="1" t="s">
        <v>25</v>
      </c>
      <c r="P465" s="1" t="s">
        <v>27</v>
      </c>
      <c r="Q465" s="1" t="s">
        <v>2603</v>
      </c>
      <c r="R465" s="1" t="b">
        <f>COUNTIF(  Papers!G:G, RAW_DATA!Q465 ) = 0</f>
        <v>0</v>
      </c>
      <c r="S465" s="1" t="b">
        <f t="shared" si="1"/>
        <v>0</v>
      </c>
    </row>
    <row r="466" spans="1:19" ht="15.75" customHeight="1">
      <c r="A466" s="1" t="s">
        <v>2604</v>
      </c>
      <c r="B466" s="1" t="s">
        <v>2605</v>
      </c>
      <c r="C466" s="1">
        <v>2018</v>
      </c>
      <c r="D466" s="1" t="s">
        <v>2606</v>
      </c>
      <c r="E466" s="1">
        <v>2</v>
      </c>
      <c r="F466" s="1">
        <v>4</v>
      </c>
      <c r="G466" s="1">
        <v>62</v>
      </c>
      <c r="J466" s="1">
        <v>110</v>
      </c>
      <c r="K466" s="1" t="s">
        <v>2607</v>
      </c>
      <c r="L466" s="1" t="s">
        <v>2608</v>
      </c>
      <c r="M466" s="1" t="s">
        <v>54</v>
      </c>
      <c r="N466" s="1" t="s">
        <v>25</v>
      </c>
      <c r="O466" s="1" t="s">
        <v>26</v>
      </c>
      <c r="P466" s="1" t="s">
        <v>27</v>
      </c>
      <c r="Q466" s="1" t="s">
        <v>2609</v>
      </c>
      <c r="R466" s="1" t="b">
        <f>COUNTIF(  Papers!G:G, RAW_DATA!Q466 ) = 0</f>
        <v>0</v>
      </c>
      <c r="S466" s="1" t="b">
        <f t="shared" si="1"/>
        <v>0</v>
      </c>
    </row>
    <row r="467" spans="1:19" ht="15.75" customHeight="1">
      <c r="A467" s="1" t="s">
        <v>2610</v>
      </c>
      <c r="B467" s="1" t="s">
        <v>2611</v>
      </c>
      <c r="C467" s="1">
        <v>2021</v>
      </c>
      <c r="D467" s="1" t="s">
        <v>368</v>
      </c>
      <c r="E467" s="1">
        <v>13</v>
      </c>
      <c r="F467" s="1">
        <v>19</v>
      </c>
      <c r="G467" s="1">
        <v>10983</v>
      </c>
      <c r="J467" s="1">
        <v>112</v>
      </c>
      <c r="K467" s="1" t="s">
        <v>2612</v>
      </c>
      <c r="L467" s="1" t="s">
        <v>2613</v>
      </c>
      <c r="M467" s="1" t="s">
        <v>54</v>
      </c>
      <c r="N467" s="1" t="s">
        <v>25</v>
      </c>
      <c r="O467" s="1" t="s">
        <v>26</v>
      </c>
      <c r="P467" s="1" t="s">
        <v>27</v>
      </c>
      <c r="Q467" s="1" t="s">
        <v>2614</v>
      </c>
      <c r="R467" s="1" t="b">
        <f>COUNTIF(  Papers!G:G, RAW_DATA!Q467 ) = 0</f>
        <v>0</v>
      </c>
      <c r="S467" s="1" t="b">
        <f t="shared" si="1"/>
        <v>0</v>
      </c>
    </row>
    <row r="468" spans="1:19" ht="15.75" customHeight="1">
      <c r="A468" s="1" t="s">
        <v>2615</v>
      </c>
      <c r="B468" s="1" t="s">
        <v>2616</v>
      </c>
      <c r="C468" s="1">
        <v>2023</v>
      </c>
      <c r="D468" s="1" t="s">
        <v>2263</v>
      </c>
      <c r="E468" s="1">
        <v>70</v>
      </c>
      <c r="G468" s="1">
        <v>103158</v>
      </c>
      <c r="J468" s="1">
        <v>111</v>
      </c>
      <c r="K468" s="1" t="s">
        <v>2617</v>
      </c>
      <c r="L468" s="1" t="s">
        <v>2618</v>
      </c>
      <c r="M468" s="1" t="s">
        <v>54</v>
      </c>
      <c r="N468" s="1" t="s">
        <v>25</v>
      </c>
      <c r="O468" s="1" t="s">
        <v>113</v>
      </c>
      <c r="P468" s="1" t="s">
        <v>27</v>
      </c>
      <c r="Q468" s="1" t="s">
        <v>2619</v>
      </c>
      <c r="R468" s="1" t="b">
        <f>COUNTIF(  Papers!G:G, RAW_DATA!Q468 ) = 0</f>
        <v>0</v>
      </c>
      <c r="S468" s="1" t="b">
        <f t="shared" si="1"/>
        <v>0</v>
      </c>
    </row>
    <row r="469" spans="1:19" ht="15.75" customHeight="1">
      <c r="A469" s="1" t="s">
        <v>2620</v>
      </c>
      <c r="B469" s="1" t="s">
        <v>2621</v>
      </c>
      <c r="C469" s="1">
        <v>2024</v>
      </c>
      <c r="D469" s="1" t="s">
        <v>1191</v>
      </c>
      <c r="E469" s="1">
        <v>10</v>
      </c>
      <c r="F469" s="1">
        <v>11</v>
      </c>
      <c r="G469" s="1" t="s">
        <v>2622</v>
      </c>
      <c r="J469" s="1">
        <v>123</v>
      </c>
      <c r="K469" s="1" t="s">
        <v>2623</v>
      </c>
      <c r="L469" s="1" t="s">
        <v>2624</v>
      </c>
      <c r="M469" s="1" t="s">
        <v>54</v>
      </c>
      <c r="N469" s="1" t="s">
        <v>25</v>
      </c>
      <c r="O469" s="1" t="s">
        <v>26</v>
      </c>
      <c r="P469" s="1" t="s">
        <v>27</v>
      </c>
      <c r="Q469" s="1" t="s">
        <v>2625</v>
      </c>
      <c r="R469" s="1" t="b">
        <f>COUNTIF(  Papers!G:G, RAW_DATA!Q469 ) = 0</f>
        <v>0</v>
      </c>
      <c r="S469" s="1" t="b">
        <f t="shared" si="1"/>
        <v>0</v>
      </c>
    </row>
    <row r="470" spans="1:19" ht="15.75" customHeight="1">
      <c r="A470" s="1" t="s">
        <v>2626</v>
      </c>
      <c r="B470" s="1" t="s">
        <v>2627</v>
      </c>
      <c r="C470" s="1">
        <v>2020</v>
      </c>
      <c r="D470" s="1" t="s">
        <v>788</v>
      </c>
      <c r="E470" s="1">
        <v>50</v>
      </c>
      <c r="F470" s="1">
        <v>3</v>
      </c>
      <c r="G470" s="1">
        <v>8795544</v>
      </c>
      <c r="H470" s="1">
        <v>254</v>
      </c>
      <c r="I470" s="1">
        <v>263</v>
      </c>
      <c r="J470" s="1">
        <v>100</v>
      </c>
      <c r="K470" s="1" t="s">
        <v>2628</v>
      </c>
      <c r="L470" s="1" t="s">
        <v>2629</v>
      </c>
      <c r="M470" s="1" t="s">
        <v>54</v>
      </c>
      <c r="N470" s="1" t="s">
        <v>25</v>
      </c>
      <c r="O470" s="1" t="s">
        <v>55</v>
      </c>
      <c r="P470" s="1" t="s">
        <v>27</v>
      </c>
      <c r="Q470" s="1" t="s">
        <v>2630</v>
      </c>
      <c r="R470" s="1" t="b">
        <f>COUNTIF(  Papers!G:G, RAW_DATA!Q470 ) = 0</f>
        <v>0</v>
      </c>
      <c r="S470" s="1" t="b">
        <f t="shared" si="1"/>
        <v>0</v>
      </c>
    </row>
    <row r="471" spans="1:19" ht="15.75" customHeight="1">
      <c r="A471" s="1" t="s">
        <v>2631</v>
      </c>
      <c r="B471" s="1" t="s">
        <v>2632</v>
      </c>
      <c r="C471" s="1">
        <v>2019</v>
      </c>
      <c r="D471" s="1" t="s">
        <v>2633</v>
      </c>
      <c r="E471" s="1">
        <v>27</v>
      </c>
      <c r="F471" s="1">
        <v>1</v>
      </c>
      <c r="H471" s="1">
        <v>46</v>
      </c>
      <c r="I471" s="1">
        <v>62</v>
      </c>
      <c r="J471" s="1">
        <v>121</v>
      </c>
      <c r="K471" s="1" t="s">
        <v>2634</v>
      </c>
      <c r="L471" s="1" t="s">
        <v>2635</v>
      </c>
      <c r="M471" s="1" t="s">
        <v>54</v>
      </c>
      <c r="N471" s="1" t="s">
        <v>25</v>
      </c>
      <c r="P471" s="1" t="s">
        <v>27</v>
      </c>
      <c r="Q471" s="1" t="s">
        <v>2636</v>
      </c>
      <c r="R471" s="1" t="b">
        <f>COUNTIF(  Papers!G:G, RAW_DATA!Q471 ) = 0</f>
        <v>0</v>
      </c>
      <c r="S471" s="1" t="b">
        <f t="shared" si="1"/>
        <v>0</v>
      </c>
    </row>
    <row r="472" spans="1:19" ht="15.75" customHeight="1">
      <c r="A472" s="1" t="s">
        <v>2637</v>
      </c>
      <c r="B472" s="1" t="s">
        <v>2638</v>
      </c>
      <c r="C472" s="1">
        <v>2021</v>
      </c>
      <c r="D472" s="1" t="s">
        <v>189</v>
      </c>
      <c r="E472" s="1">
        <v>119</v>
      </c>
      <c r="G472" s="1">
        <v>106727</v>
      </c>
      <c r="J472" s="1">
        <v>107</v>
      </c>
      <c r="K472" s="1" t="s">
        <v>2639</v>
      </c>
      <c r="L472" s="1" t="s">
        <v>2640</v>
      </c>
      <c r="M472" s="1" t="s">
        <v>54</v>
      </c>
      <c r="N472" s="1" t="s">
        <v>25</v>
      </c>
      <c r="O472" s="1" t="s">
        <v>113</v>
      </c>
      <c r="P472" s="1" t="s">
        <v>27</v>
      </c>
      <c r="Q472" s="1" t="s">
        <v>2641</v>
      </c>
      <c r="R472" s="1" t="b">
        <f>COUNTIF(  Papers!G:G, RAW_DATA!Q472 ) = 0</f>
        <v>0</v>
      </c>
      <c r="S472" s="1" t="b">
        <f t="shared" si="1"/>
        <v>0</v>
      </c>
    </row>
    <row r="473" spans="1:19" ht="15.75" customHeight="1">
      <c r="A473" s="1" t="s">
        <v>2642</v>
      </c>
      <c r="B473" s="1" t="s">
        <v>2643</v>
      </c>
      <c r="C473" s="1">
        <v>2018</v>
      </c>
      <c r="D473" s="1" t="s">
        <v>189</v>
      </c>
      <c r="E473" s="1">
        <v>89</v>
      </c>
      <c r="H473" s="1">
        <v>279</v>
      </c>
      <c r="I473" s="1">
        <v>288</v>
      </c>
      <c r="J473" s="1">
        <v>102</v>
      </c>
      <c r="K473" s="1" t="s">
        <v>2644</v>
      </c>
      <c r="L473" s="1" t="s">
        <v>2645</v>
      </c>
      <c r="M473" s="1" t="s">
        <v>54</v>
      </c>
      <c r="N473" s="1" t="s">
        <v>25</v>
      </c>
      <c r="P473" s="1" t="s">
        <v>27</v>
      </c>
      <c r="Q473" s="1" t="s">
        <v>2646</v>
      </c>
      <c r="R473" s="1" t="b">
        <f>COUNTIF(  Papers!G:G, RAW_DATA!Q473 ) = 0</f>
        <v>0</v>
      </c>
      <c r="S473" s="1" t="b">
        <f t="shared" si="1"/>
        <v>0</v>
      </c>
    </row>
    <row r="474" spans="1:19" ht="15.75" customHeight="1">
      <c r="A474" s="1" t="s">
        <v>2647</v>
      </c>
      <c r="B474" s="1" t="s">
        <v>2648</v>
      </c>
      <c r="C474" s="1">
        <v>2022</v>
      </c>
      <c r="D474" s="1" t="s">
        <v>397</v>
      </c>
      <c r="H474" s="1">
        <v>1257</v>
      </c>
      <c r="I474" s="1">
        <v>1268</v>
      </c>
      <c r="J474" s="1">
        <v>113</v>
      </c>
      <c r="K474" s="1" t="s">
        <v>2649</v>
      </c>
      <c r="L474" s="1" t="s">
        <v>2650</v>
      </c>
      <c r="M474" s="1" t="s">
        <v>169</v>
      </c>
      <c r="N474" s="1" t="s">
        <v>25</v>
      </c>
      <c r="O474" s="1" t="s">
        <v>113</v>
      </c>
      <c r="P474" s="1" t="s">
        <v>27</v>
      </c>
      <c r="Q474" s="1" t="s">
        <v>2651</v>
      </c>
      <c r="R474" s="1" t="b">
        <f>COUNTIF(  Papers!G:G, RAW_DATA!Q474 ) = 0</f>
        <v>0</v>
      </c>
      <c r="S474" s="1" t="b">
        <f t="shared" si="1"/>
        <v>0</v>
      </c>
    </row>
    <row r="475" spans="1:19" ht="15.75" customHeight="1">
      <c r="A475" s="1" t="s">
        <v>2652</v>
      </c>
      <c r="B475" s="1" t="s">
        <v>2653</v>
      </c>
      <c r="C475" s="1">
        <v>2024</v>
      </c>
      <c r="D475" s="1" t="s">
        <v>2263</v>
      </c>
      <c r="E475" s="1">
        <v>79</v>
      </c>
      <c r="G475" s="1">
        <v>103797</v>
      </c>
      <c r="J475" s="1">
        <v>124</v>
      </c>
      <c r="K475" s="1" t="s">
        <v>2654</v>
      </c>
      <c r="L475" s="1" t="s">
        <v>2655</v>
      </c>
      <c r="M475" s="1" t="s">
        <v>54</v>
      </c>
      <c r="N475" s="1" t="s">
        <v>25</v>
      </c>
      <c r="P475" s="1" t="s">
        <v>27</v>
      </c>
      <c r="Q475" s="1" t="s">
        <v>2656</v>
      </c>
      <c r="R475" s="1" t="b">
        <f>COUNTIF(  Papers!G:G, RAW_DATA!Q475 ) = 0</f>
        <v>0</v>
      </c>
      <c r="S475" s="1" t="b">
        <f t="shared" si="1"/>
        <v>0</v>
      </c>
    </row>
    <row r="476" spans="1:19" ht="15.75" customHeight="1">
      <c r="A476" s="1" t="s">
        <v>2657</v>
      </c>
      <c r="B476" s="1" t="s">
        <v>2658</v>
      </c>
      <c r="C476" s="1">
        <v>2021</v>
      </c>
      <c r="D476" s="1" t="s">
        <v>799</v>
      </c>
      <c r="E476" s="1">
        <v>159</v>
      </c>
      <c r="G476" s="1">
        <v>106238</v>
      </c>
      <c r="J476" s="1">
        <v>122</v>
      </c>
      <c r="K476" s="1" t="s">
        <v>2659</v>
      </c>
      <c r="L476" s="1" t="s">
        <v>2660</v>
      </c>
      <c r="M476" s="1" t="s">
        <v>54</v>
      </c>
      <c r="N476" s="1" t="s">
        <v>25</v>
      </c>
      <c r="P476" s="1" t="s">
        <v>27</v>
      </c>
      <c r="Q476" s="1" t="s">
        <v>2661</v>
      </c>
      <c r="R476" s="1" t="b">
        <f>COUNTIF(  Papers!G:G, RAW_DATA!Q476 ) = 0</f>
        <v>0</v>
      </c>
      <c r="S476" s="1" t="b">
        <f t="shared" si="1"/>
        <v>0</v>
      </c>
    </row>
    <row r="477" spans="1:19" ht="15.75" customHeight="1">
      <c r="A477" s="1" t="s">
        <v>2662</v>
      </c>
      <c r="B477" s="1" t="s">
        <v>2663</v>
      </c>
      <c r="C477" s="1">
        <v>2022</v>
      </c>
      <c r="D477" s="1" t="s">
        <v>1017</v>
      </c>
      <c r="E477" s="1">
        <v>53</v>
      </c>
      <c r="F477" s="1">
        <v>4</v>
      </c>
      <c r="H477" s="1">
        <v>844</v>
      </c>
      <c r="I477" s="1">
        <v>875</v>
      </c>
      <c r="J477" s="1">
        <v>105</v>
      </c>
      <c r="K477" s="1" t="s">
        <v>2664</v>
      </c>
      <c r="L477" s="1" t="s">
        <v>2665</v>
      </c>
      <c r="M477" s="1" t="s">
        <v>54</v>
      </c>
      <c r="N477" s="1" t="s">
        <v>25</v>
      </c>
      <c r="O477" s="1" t="s">
        <v>100</v>
      </c>
      <c r="P477" s="1" t="s">
        <v>27</v>
      </c>
      <c r="Q477" s="1" t="s">
        <v>2666</v>
      </c>
      <c r="R477" s="1" t="b">
        <f>COUNTIF(  Papers!G:G, RAW_DATA!Q477 ) = 0</f>
        <v>0</v>
      </c>
      <c r="S477" s="1" t="b">
        <f t="shared" si="1"/>
        <v>0</v>
      </c>
    </row>
    <row r="478" spans="1:19" ht="15.75" customHeight="1">
      <c r="A478" s="1" t="s">
        <v>2667</v>
      </c>
      <c r="B478" s="1" t="s">
        <v>2668</v>
      </c>
      <c r="C478" s="1">
        <v>2018</v>
      </c>
      <c r="D478" s="1" t="s">
        <v>84</v>
      </c>
      <c r="E478" s="1">
        <v>60</v>
      </c>
      <c r="F478" s="1">
        <v>3</v>
      </c>
      <c r="H478" s="1">
        <v>305</v>
      </c>
      <c r="I478" s="1">
        <v>323</v>
      </c>
      <c r="J478" s="1">
        <v>104</v>
      </c>
      <c r="K478" s="1" t="s">
        <v>2669</v>
      </c>
      <c r="L478" s="1" t="s">
        <v>2670</v>
      </c>
      <c r="M478" s="1" t="s">
        <v>54</v>
      </c>
      <c r="N478" s="1" t="s">
        <v>25</v>
      </c>
      <c r="P478" s="1" t="s">
        <v>27</v>
      </c>
      <c r="Q478" s="1" t="s">
        <v>2671</v>
      </c>
      <c r="R478" s="1" t="b">
        <f>COUNTIF(  Papers!G:G, RAW_DATA!Q478 ) = 0</f>
        <v>0</v>
      </c>
      <c r="S478" s="1" t="b">
        <f t="shared" si="1"/>
        <v>0</v>
      </c>
    </row>
    <row r="479" spans="1:19" ht="15.75" customHeight="1">
      <c r="A479" s="1" t="s">
        <v>2672</v>
      </c>
      <c r="B479" s="1" t="s">
        <v>2673</v>
      </c>
      <c r="C479" s="1">
        <v>2022</v>
      </c>
      <c r="D479" s="1" t="s">
        <v>247</v>
      </c>
      <c r="G479" s="1">
        <v>568</v>
      </c>
      <c r="J479" s="1">
        <v>117</v>
      </c>
      <c r="K479" s="1" t="s">
        <v>2674</v>
      </c>
      <c r="L479" s="1" t="s">
        <v>2675</v>
      </c>
      <c r="M479" s="1" t="s">
        <v>169</v>
      </c>
      <c r="N479" s="1" t="s">
        <v>25</v>
      </c>
      <c r="O479" s="1" t="s">
        <v>100</v>
      </c>
      <c r="P479" s="1" t="s">
        <v>27</v>
      </c>
      <c r="Q479" s="1" t="s">
        <v>2676</v>
      </c>
      <c r="R479" s="1" t="b">
        <f>COUNTIF(  Papers!G:G, RAW_DATA!Q479 ) = 0</f>
        <v>0</v>
      </c>
      <c r="S479" s="1" t="b">
        <f t="shared" si="1"/>
        <v>0</v>
      </c>
    </row>
    <row r="480" spans="1:19" ht="15.75" customHeight="1">
      <c r="A480" s="1" t="s">
        <v>2677</v>
      </c>
      <c r="B480" s="1" t="s">
        <v>2678</v>
      </c>
      <c r="C480" s="1">
        <v>2024</v>
      </c>
      <c r="D480" s="1" t="s">
        <v>1385</v>
      </c>
      <c r="E480" s="1">
        <v>11</v>
      </c>
      <c r="F480" s="1">
        <v>1</v>
      </c>
      <c r="G480" s="1">
        <v>559</v>
      </c>
      <c r="J480" s="1">
        <v>100</v>
      </c>
      <c r="K480" s="1" t="s">
        <v>2679</v>
      </c>
      <c r="L480" s="1" t="s">
        <v>2680</v>
      </c>
      <c r="M480" s="1" t="s">
        <v>54</v>
      </c>
      <c r="N480" s="1" t="s">
        <v>25</v>
      </c>
      <c r="O480" s="1" t="s">
        <v>26</v>
      </c>
      <c r="P480" s="1" t="s">
        <v>27</v>
      </c>
      <c r="Q480" s="1" t="s">
        <v>2681</v>
      </c>
      <c r="R480" s="1" t="b">
        <f>COUNTIF(  Papers!G:G, RAW_DATA!Q480 ) = 0</f>
        <v>0</v>
      </c>
      <c r="S480" s="1" t="b">
        <f t="shared" si="1"/>
        <v>0</v>
      </c>
    </row>
    <row r="481" spans="1:19" ht="15.75" customHeight="1">
      <c r="A481" s="1" t="s">
        <v>2682</v>
      </c>
      <c r="B481" s="1" t="s">
        <v>2683</v>
      </c>
      <c r="C481" s="1">
        <v>2018</v>
      </c>
      <c r="D481" s="1" t="s">
        <v>2684</v>
      </c>
      <c r="E481" s="1">
        <v>12</v>
      </c>
      <c r="F481" s="1" t="s">
        <v>2685</v>
      </c>
      <c r="G481" s="1">
        <v>83</v>
      </c>
      <c r="J481" s="1">
        <v>101</v>
      </c>
      <c r="K481" s="1" t="s">
        <v>2686</v>
      </c>
      <c r="L481" s="1" t="s">
        <v>2687</v>
      </c>
      <c r="M481" s="1" t="s">
        <v>24</v>
      </c>
      <c r="N481" s="1" t="s">
        <v>25</v>
      </c>
      <c r="O481" s="1" t="s">
        <v>26</v>
      </c>
      <c r="P481" s="1" t="s">
        <v>27</v>
      </c>
      <c r="Q481" s="1" t="s">
        <v>2688</v>
      </c>
      <c r="R481" s="1" t="b">
        <f>COUNTIF(  Papers!G:G, RAW_DATA!Q481 ) = 0</f>
        <v>0</v>
      </c>
      <c r="S481" s="1" t="b">
        <f t="shared" si="1"/>
        <v>0</v>
      </c>
    </row>
    <row r="482" spans="1:19" ht="15.75" customHeight="1">
      <c r="A482" s="1" t="s">
        <v>2689</v>
      </c>
      <c r="B482" s="1" t="s">
        <v>2690</v>
      </c>
      <c r="C482" s="1">
        <v>2022</v>
      </c>
      <c r="D482" s="1" t="s">
        <v>1590</v>
      </c>
      <c r="E482" s="1">
        <v>3</v>
      </c>
      <c r="F482" s="1">
        <v>4</v>
      </c>
      <c r="G482" s="1">
        <v>100452</v>
      </c>
      <c r="J482" s="1">
        <v>102</v>
      </c>
      <c r="K482" s="1" t="s">
        <v>2691</v>
      </c>
      <c r="L482" s="1" t="s">
        <v>2692</v>
      </c>
      <c r="M482" s="1" t="s">
        <v>54</v>
      </c>
      <c r="N482" s="1" t="s">
        <v>25</v>
      </c>
      <c r="O482" s="1" t="s">
        <v>26</v>
      </c>
      <c r="P482" s="1" t="s">
        <v>27</v>
      </c>
      <c r="Q482" s="1" t="s">
        <v>2693</v>
      </c>
      <c r="R482" s="1" t="b">
        <f>COUNTIF(  Papers!G:G, RAW_DATA!Q482 ) = 0</f>
        <v>0</v>
      </c>
      <c r="S482" s="1" t="b">
        <f t="shared" si="1"/>
        <v>0</v>
      </c>
    </row>
    <row r="483" spans="1:19" ht="15.75" customHeight="1">
      <c r="A483" s="1" t="s">
        <v>2694</v>
      </c>
      <c r="B483" s="1" t="s">
        <v>2695</v>
      </c>
      <c r="C483" s="1">
        <v>2020</v>
      </c>
      <c r="D483" s="1" t="s">
        <v>1250</v>
      </c>
      <c r="E483" s="1">
        <v>129</v>
      </c>
      <c r="G483" s="1">
        <v>104832</v>
      </c>
      <c r="J483" s="1">
        <v>103</v>
      </c>
      <c r="K483" s="1" t="s">
        <v>2696</v>
      </c>
      <c r="L483" s="1" t="s">
        <v>2697</v>
      </c>
      <c r="M483" s="1" t="s">
        <v>54</v>
      </c>
      <c r="N483" s="1" t="s">
        <v>25</v>
      </c>
      <c r="O483" s="1" t="s">
        <v>100</v>
      </c>
      <c r="P483" s="1" t="s">
        <v>27</v>
      </c>
      <c r="Q483" s="1" t="s">
        <v>2698</v>
      </c>
      <c r="R483" s="1" t="b">
        <f>COUNTIF(  Papers!G:G, RAW_DATA!Q483 ) = 0</f>
        <v>0</v>
      </c>
      <c r="S483" s="1" t="b">
        <f t="shared" si="1"/>
        <v>0</v>
      </c>
    </row>
    <row r="484" spans="1:19" ht="15.75" customHeight="1">
      <c r="A484" s="1" t="s">
        <v>2699</v>
      </c>
      <c r="B484" s="1" t="s">
        <v>2700</v>
      </c>
      <c r="C484" s="1">
        <v>2023</v>
      </c>
      <c r="D484" s="1" t="s">
        <v>782</v>
      </c>
      <c r="E484" s="1">
        <v>169</v>
      </c>
      <c r="G484" s="1">
        <v>102941</v>
      </c>
      <c r="J484" s="1">
        <v>111</v>
      </c>
      <c r="K484" s="1" t="s">
        <v>2701</v>
      </c>
      <c r="L484" s="1" t="s">
        <v>2702</v>
      </c>
      <c r="M484" s="1" t="s">
        <v>54</v>
      </c>
      <c r="N484" s="1" t="s">
        <v>25</v>
      </c>
      <c r="O484" s="1" t="s">
        <v>100</v>
      </c>
      <c r="P484" s="1" t="s">
        <v>27</v>
      </c>
      <c r="Q484" s="1" t="s">
        <v>2703</v>
      </c>
      <c r="R484" s="1" t="b">
        <f>COUNTIF(  Papers!G:G, RAW_DATA!Q484 ) = 0</f>
        <v>0</v>
      </c>
      <c r="S484" s="1" t="b">
        <f t="shared" si="1"/>
        <v>0</v>
      </c>
    </row>
    <row r="485" spans="1:19" ht="15.75" customHeight="1">
      <c r="A485" s="1" t="s">
        <v>2704</v>
      </c>
      <c r="B485" s="1" t="s">
        <v>2705</v>
      </c>
      <c r="C485" s="1">
        <v>2021</v>
      </c>
      <c r="D485" s="1" t="s">
        <v>2706</v>
      </c>
      <c r="E485" s="1">
        <v>58</v>
      </c>
      <c r="F485" s="1">
        <v>7</v>
      </c>
      <c r="G485" s="1">
        <v>103524</v>
      </c>
      <c r="J485" s="1">
        <v>116</v>
      </c>
      <c r="K485" s="1" t="s">
        <v>2707</v>
      </c>
      <c r="L485" s="1" t="s">
        <v>2708</v>
      </c>
      <c r="M485" s="1" t="s">
        <v>54</v>
      </c>
      <c r="N485" s="1" t="s">
        <v>25</v>
      </c>
      <c r="P485" s="1" t="s">
        <v>27</v>
      </c>
      <c r="Q485" s="1" t="s">
        <v>2709</v>
      </c>
      <c r="R485" s="1" t="b">
        <f>COUNTIF(  Papers!G:G, RAW_DATA!Q485 ) = 0</f>
        <v>0</v>
      </c>
      <c r="S485" s="1" t="b">
        <f t="shared" si="1"/>
        <v>0</v>
      </c>
    </row>
    <row r="486" spans="1:19" ht="15.75" customHeight="1">
      <c r="A486" s="1" t="s">
        <v>2710</v>
      </c>
      <c r="B486" s="1" t="s">
        <v>2711</v>
      </c>
      <c r="C486" s="1">
        <v>2023</v>
      </c>
      <c r="D486" s="1" t="s">
        <v>1250</v>
      </c>
      <c r="E486" s="1">
        <v>167</v>
      </c>
      <c r="G486" s="1">
        <v>106244</v>
      </c>
      <c r="J486" s="1">
        <v>129</v>
      </c>
      <c r="K486" s="1" t="s">
        <v>2712</v>
      </c>
      <c r="L486" s="1" t="s">
        <v>2713</v>
      </c>
      <c r="M486" s="1" t="s">
        <v>54</v>
      </c>
      <c r="N486" s="1" t="s">
        <v>25</v>
      </c>
      <c r="O486" s="1" t="s">
        <v>100</v>
      </c>
      <c r="P486" s="1" t="s">
        <v>27</v>
      </c>
      <c r="Q486" s="1" t="s">
        <v>2714</v>
      </c>
      <c r="R486" s="1" t="b">
        <f>COUNTIF(  Papers!G:G, RAW_DATA!Q486 ) = 0</f>
        <v>0</v>
      </c>
      <c r="S486" s="1" t="b">
        <f t="shared" si="1"/>
        <v>0</v>
      </c>
    </row>
    <row r="487" spans="1:19" ht="15.75" customHeight="1">
      <c r="A487" s="1" t="s">
        <v>2715</v>
      </c>
      <c r="B487" s="1" t="s">
        <v>2716</v>
      </c>
      <c r="C487" s="1">
        <v>2023</v>
      </c>
      <c r="D487" s="1" t="s">
        <v>189</v>
      </c>
      <c r="E487" s="1">
        <v>139</v>
      </c>
      <c r="G487" s="1">
        <v>107536</v>
      </c>
      <c r="J487" s="1">
        <v>110</v>
      </c>
      <c r="K487" s="1" t="s">
        <v>2717</v>
      </c>
      <c r="L487" s="1" t="s">
        <v>2718</v>
      </c>
      <c r="M487" s="1" t="s">
        <v>54</v>
      </c>
      <c r="N487" s="1" t="s">
        <v>25</v>
      </c>
      <c r="O487" s="1" t="s">
        <v>55</v>
      </c>
      <c r="P487" s="1" t="s">
        <v>27</v>
      </c>
      <c r="Q487" s="1" t="s">
        <v>2719</v>
      </c>
      <c r="R487" s="1" t="b">
        <f>COUNTIF(  Papers!G:G, RAW_DATA!Q487 ) = 0</f>
        <v>0</v>
      </c>
      <c r="S487" s="1" t="b">
        <f t="shared" si="1"/>
        <v>0</v>
      </c>
    </row>
    <row r="488" spans="1:19" ht="15.75" customHeight="1">
      <c r="A488" s="1" t="s">
        <v>2720</v>
      </c>
      <c r="B488" s="1" t="s">
        <v>2721</v>
      </c>
      <c r="C488" s="1">
        <v>2020</v>
      </c>
      <c r="D488" s="1" t="s">
        <v>2722</v>
      </c>
      <c r="J488" s="1">
        <v>119</v>
      </c>
      <c r="K488" s="1" t="s">
        <v>2723</v>
      </c>
      <c r="L488" s="1" t="s">
        <v>2724</v>
      </c>
      <c r="M488" s="1" t="s">
        <v>54</v>
      </c>
      <c r="N488" s="1" t="s">
        <v>2725</v>
      </c>
      <c r="O488" s="1" t="s">
        <v>55</v>
      </c>
      <c r="P488" s="1" t="s">
        <v>27</v>
      </c>
      <c r="Q488" s="1" t="s">
        <v>2726</v>
      </c>
      <c r="R488" s="1" t="b">
        <f>COUNTIF(  Papers!G:G, RAW_DATA!Q488 ) = 0</f>
        <v>0</v>
      </c>
      <c r="S488" s="1" t="b">
        <f t="shared" si="1"/>
        <v>0</v>
      </c>
    </row>
    <row r="489" spans="1:19" ht="15.75" customHeight="1">
      <c r="A489" s="1" t="s">
        <v>2727</v>
      </c>
      <c r="B489" s="1" t="s">
        <v>2728</v>
      </c>
      <c r="C489" s="1">
        <v>2019</v>
      </c>
      <c r="D489" s="1" t="s">
        <v>97</v>
      </c>
      <c r="E489" s="1">
        <v>21</v>
      </c>
      <c r="F489" s="1">
        <v>1</v>
      </c>
      <c r="H489" s="1">
        <v>99</v>
      </c>
      <c r="I489" s="1">
        <v>111</v>
      </c>
      <c r="J489" s="1">
        <v>118</v>
      </c>
      <c r="K489" s="1" t="s">
        <v>2729</v>
      </c>
      <c r="L489" s="1" t="s">
        <v>2730</v>
      </c>
      <c r="M489" s="1" t="s">
        <v>54</v>
      </c>
      <c r="N489" s="1" t="s">
        <v>25</v>
      </c>
      <c r="O489" s="1" t="s">
        <v>100</v>
      </c>
      <c r="P489" s="1" t="s">
        <v>27</v>
      </c>
      <c r="Q489" s="1" t="s">
        <v>2731</v>
      </c>
      <c r="R489" s="1" t="b">
        <f>COUNTIF(  Papers!G:G, RAW_DATA!Q489 ) = 0</f>
        <v>0</v>
      </c>
      <c r="S489" s="1" t="b">
        <f t="shared" si="1"/>
        <v>0</v>
      </c>
    </row>
    <row r="490" spans="1:19" ht="15.75" customHeight="1">
      <c r="A490" s="1" t="s">
        <v>2732</v>
      </c>
      <c r="B490" s="1" t="s">
        <v>2733</v>
      </c>
      <c r="C490" s="1">
        <v>2018</v>
      </c>
      <c r="D490" s="1" t="s">
        <v>608</v>
      </c>
      <c r="E490" s="1">
        <v>19</v>
      </c>
      <c r="F490" s="1">
        <v>3</v>
      </c>
      <c r="H490" s="1">
        <v>353</v>
      </c>
      <c r="I490" s="1">
        <v>374</v>
      </c>
      <c r="J490" s="1">
        <v>108</v>
      </c>
      <c r="K490" s="1" t="s">
        <v>2734</v>
      </c>
      <c r="L490" s="1" t="s">
        <v>2735</v>
      </c>
      <c r="M490" s="1" t="s">
        <v>54</v>
      </c>
      <c r="N490" s="1" t="s">
        <v>25</v>
      </c>
      <c r="P490" s="1" t="s">
        <v>27</v>
      </c>
      <c r="Q490" s="1" t="s">
        <v>2736</v>
      </c>
      <c r="R490" s="1" t="b">
        <f>COUNTIF(  Papers!G:G, RAW_DATA!Q490 ) = 0</f>
        <v>0</v>
      </c>
      <c r="S490" s="1" t="b">
        <f t="shared" si="1"/>
        <v>0</v>
      </c>
    </row>
    <row r="491" spans="1:19" ht="15.75" customHeight="1">
      <c r="A491" s="1" t="s">
        <v>2737</v>
      </c>
      <c r="B491" s="1" t="s">
        <v>2738</v>
      </c>
      <c r="C491" s="1">
        <v>2022</v>
      </c>
      <c r="D491" s="1" t="s">
        <v>1530</v>
      </c>
      <c r="E491" s="1">
        <v>39</v>
      </c>
      <c r="F491" s="1">
        <v>2</v>
      </c>
      <c r="H491" s="1">
        <v>336</v>
      </c>
      <c r="I491" s="1">
        <v>365</v>
      </c>
      <c r="J491" s="1">
        <v>107</v>
      </c>
      <c r="K491" s="1" t="s">
        <v>2739</v>
      </c>
      <c r="L491" s="1" t="s">
        <v>2740</v>
      </c>
      <c r="M491" s="1" t="s">
        <v>54</v>
      </c>
      <c r="N491" s="1" t="s">
        <v>25</v>
      </c>
      <c r="P491" s="1" t="s">
        <v>27</v>
      </c>
      <c r="Q491" s="1" t="s">
        <v>2741</v>
      </c>
      <c r="R491" s="1" t="b">
        <f>COUNTIF(  Papers!G:G, RAW_DATA!Q491 ) = 0</f>
        <v>0</v>
      </c>
      <c r="S491" s="1" t="b">
        <f t="shared" si="1"/>
        <v>0</v>
      </c>
    </row>
    <row r="492" spans="1:19" ht="15.75" customHeight="1">
      <c r="A492" s="1" t="s">
        <v>2742</v>
      </c>
      <c r="B492" s="1" t="s">
        <v>2743</v>
      </c>
      <c r="C492" s="1">
        <v>2024</v>
      </c>
      <c r="D492" s="1" t="s">
        <v>1524</v>
      </c>
      <c r="E492" s="1">
        <v>10</v>
      </c>
      <c r="F492" s="1">
        <v>1</v>
      </c>
      <c r="G492" s="1">
        <v>100218</v>
      </c>
      <c r="J492" s="1">
        <v>113</v>
      </c>
      <c r="K492" s="1" t="s">
        <v>2744</v>
      </c>
      <c r="L492" s="1" t="s">
        <v>2745</v>
      </c>
      <c r="M492" s="1" t="s">
        <v>54</v>
      </c>
      <c r="N492" s="1" t="s">
        <v>25</v>
      </c>
      <c r="O492" s="1" t="s">
        <v>26</v>
      </c>
      <c r="P492" s="1" t="s">
        <v>27</v>
      </c>
      <c r="Q492" s="1" t="s">
        <v>2746</v>
      </c>
      <c r="R492" s="1" t="b">
        <f>COUNTIF(  Papers!G:G, RAW_DATA!Q492 ) = 0</f>
        <v>0</v>
      </c>
      <c r="S492" s="1" t="b">
        <f t="shared" si="1"/>
        <v>0</v>
      </c>
    </row>
    <row r="493" spans="1:19" ht="15.75" customHeight="1">
      <c r="A493" s="1" t="s">
        <v>2747</v>
      </c>
      <c r="B493" s="1" t="s">
        <v>2748</v>
      </c>
      <c r="C493" s="1">
        <v>2020</v>
      </c>
      <c r="D493" s="1" t="s">
        <v>443</v>
      </c>
      <c r="H493" s="1">
        <v>297</v>
      </c>
      <c r="I493" s="1">
        <v>307</v>
      </c>
      <c r="J493" s="1">
        <v>106</v>
      </c>
      <c r="K493" s="1" t="s">
        <v>2749</v>
      </c>
      <c r="L493" s="1" t="s">
        <v>2750</v>
      </c>
      <c r="M493" s="1" t="s">
        <v>169</v>
      </c>
      <c r="N493" s="1" t="s">
        <v>25</v>
      </c>
      <c r="P493" s="1" t="s">
        <v>27</v>
      </c>
      <c r="Q493" s="1" t="s">
        <v>2751</v>
      </c>
      <c r="R493" s="1" t="b">
        <f>COUNTIF(  Papers!G:G, RAW_DATA!Q493 ) = 0</f>
        <v>0</v>
      </c>
      <c r="S493" s="1" t="b">
        <f t="shared" si="1"/>
        <v>0</v>
      </c>
    </row>
    <row r="494" spans="1:19" ht="15.75" customHeight="1">
      <c r="A494" s="1" t="s">
        <v>2752</v>
      </c>
      <c r="B494" s="1" t="s">
        <v>2753</v>
      </c>
      <c r="C494" s="1">
        <v>2023</v>
      </c>
      <c r="D494" s="1" t="s">
        <v>2754</v>
      </c>
      <c r="E494" s="1">
        <v>14</v>
      </c>
      <c r="F494" s="1">
        <v>1</v>
      </c>
      <c r="G494" s="1">
        <v>11</v>
      </c>
      <c r="J494" s="1">
        <v>127</v>
      </c>
      <c r="K494" s="1" t="s">
        <v>2755</v>
      </c>
      <c r="L494" s="1" t="s">
        <v>2756</v>
      </c>
      <c r="M494" s="1" t="s">
        <v>54</v>
      </c>
      <c r="N494" s="1" t="s">
        <v>25</v>
      </c>
      <c r="O494" s="1" t="s">
        <v>113</v>
      </c>
      <c r="P494" s="1" t="s">
        <v>27</v>
      </c>
      <c r="Q494" s="1" t="s">
        <v>2757</v>
      </c>
      <c r="R494" s="1" t="b">
        <f>COUNTIF(  Papers!G:G, RAW_DATA!Q494 ) = 0</f>
        <v>0</v>
      </c>
      <c r="S494" s="1" t="b">
        <f t="shared" si="1"/>
        <v>0</v>
      </c>
    </row>
    <row r="495" spans="1:19" ht="15.75" customHeight="1">
      <c r="A495" s="1" t="s">
        <v>2758</v>
      </c>
      <c r="B495" s="1" t="s">
        <v>2759</v>
      </c>
      <c r="C495" s="1">
        <v>2023</v>
      </c>
      <c r="D495" s="1" t="s">
        <v>2263</v>
      </c>
      <c r="E495" s="1">
        <v>72</v>
      </c>
      <c r="G495" s="1">
        <v>103242</v>
      </c>
      <c r="J495" s="1">
        <v>125</v>
      </c>
      <c r="K495" s="1" t="s">
        <v>2760</v>
      </c>
      <c r="L495" s="1" t="s">
        <v>2761</v>
      </c>
      <c r="M495" s="1" t="s">
        <v>54</v>
      </c>
      <c r="N495" s="1" t="s">
        <v>25</v>
      </c>
      <c r="P495" s="1" t="s">
        <v>27</v>
      </c>
      <c r="Q495" s="1" t="s">
        <v>2762</v>
      </c>
      <c r="R495" s="1" t="b">
        <f>COUNTIF(  Papers!G:G, RAW_DATA!Q495 ) = 0</f>
        <v>0</v>
      </c>
      <c r="S495" s="1" t="b">
        <f t="shared" si="1"/>
        <v>0</v>
      </c>
    </row>
    <row r="496" spans="1:19" ht="15.75" customHeight="1">
      <c r="A496" s="1" t="s">
        <v>2763</v>
      </c>
      <c r="B496" s="1" t="s">
        <v>2764</v>
      </c>
      <c r="C496" s="1">
        <v>2022</v>
      </c>
      <c r="D496" s="1" t="s">
        <v>436</v>
      </c>
      <c r="E496" s="1">
        <v>6</v>
      </c>
      <c r="F496" s="1" t="s">
        <v>437</v>
      </c>
      <c r="G496" s="1">
        <v>83</v>
      </c>
      <c r="J496" s="1">
        <v>131</v>
      </c>
      <c r="K496" s="1" t="s">
        <v>2765</v>
      </c>
      <c r="L496" s="1" t="s">
        <v>2766</v>
      </c>
      <c r="M496" s="1" t="s">
        <v>54</v>
      </c>
      <c r="N496" s="1" t="s">
        <v>25</v>
      </c>
      <c r="O496" s="1" t="s">
        <v>55</v>
      </c>
      <c r="P496" s="1" t="s">
        <v>27</v>
      </c>
      <c r="Q496" s="1" t="s">
        <v>2767</v>
      </c>
      <c r="R496" s="1" t="b">
        <f>COUNTIF(  Papers!G:G, RAW_DATA!Q496 ) = 0</f>
        <v>0</v>
      </c>
      <c r="S496" s="1" t="b">
        <f t="shared" si="1"/>
        <v>0</v>
      </c>
    </row>
    <row r="497" spans="1:19" ht="15.75" customHeight="1">
      <c r="A497" s="1" t="s">
        <v>2768</v>
      </c>
      <c r="B497" s="1" t="s">
        <v>2769</v>
      </c>
      <c r="C497" s="1">
        <v>2022</v>
      </c>
      <c r="D497" s="1" t="s">
        <v>2770</v>
      </c>
      <c r="E497" s="1">
        <v>60</v>
      </c>
      <c r="G497" s="1">
        <v>101616</v>
      </c>
      <c r="J497" s="1">
        <v>111</v>
      </c>
      <c r="K497" s="1" t="s">
        <v>2771</v>
      </c>
      <c r="L497" s="1" t="s">
        <v>2772</v>
      </c>
      <c r="M497" s="1" t="s">
        <v>54</v>
      </c>
      <c r="N497" s="1" t="s">
        <v>25</v>
      </c>
      <c r="P497" s="1" t="s">
        <v>27</v>
      </c>
      <c r="Q497" s="1" t="s">
        <v>2773</v>
      </c>
      <c r="R497" s="1" t="b">
        <f>COUNTIF(  Papers!G:G, RAW_DATA!Q497 ) = 0</f>
        <v>0</v>
      </c>
      <c r="S497" s="1" t="b">
        <f t="shared" si="1"/>
        <v>0</v>
      </c>
    </row>
    <row r="498" spans="1:19" ht="15.75" customHeight="1">
      <c r="A498" s="1" t="s">
        <v>2774</v>
      </c>
      <c r="B498" s="1" t="s">
        <v>2775</v>
      </c>
      <c r="C498" s="1">
        <v>2023</v>
      </c>
      <c r="D498" s="1" t="s">
        <v>2776</v>
      </c>
      <c r="E498" s="1" t="s">
        <v>2777</v>
      </c>
      <c r="H498" s="1">
        <v>2711</v>
      </c>
      <c r="I498" s="1">
        <v>2721</v>
      </c>
      <c r="J498" s="1">
        <v>110</v>
      </c>
      <c r="K498" s="1" t="s">
        <v>2778</v>
      </c>
      <c r="L498" s="1" t="s">
        <v>2779</v>
      </c>
      <c r="M498" s="1" t="s">
        <v>169</v>
      </c>
      <c r="N498" s="1" t="s">
        <v>25</v>
      </c>
      <c r="O498" s="1" t="s">
        <v>113</v>
      </c>
      <c r="P498" s="1" t="s">
        <v>27</v>
      </c>
      <c r="Q498" s="1" t="s">
        <v>2780</v>
      </c>
      <c r="R498" s="1" t="b">
        <f>COUNTIF(  Papers!G:G, RAW_DATA!Q498 ) = 0</f>
        <v>0</v>
      </c>
      <c r="S498" s="1" t="b">
        <f t="shared" si="1"/>
        <v>0</v>
      </c>
    </row>
    <row r="499" spans="1:19" ht="15.75" customHeight="1">
      <c r="A499" s="1" t="s">
        <v>2781</v>
      </c>
      <c r="B499" s="1" t="s">
        <v>2782</v>
      </c>
      <c r="C499" s="1">
        <v>2018</v>
      </c>
      <c r="D499" s="1" t="s">
        <v>2783</v>
      </c>
      <c r="H499" s="1">
        <v>144</v>
      </c>
      <c r="I499" s="1">
        <v>150</v>
      </c>
      <c r="J499" s="1">
        <v>121</v>
      </c>
      <c r="K499" s="1" t="s">
        <v>2784</v>
      </c>
      <c r="L499" s="1" t="s">
        <v>2785</v>
      </c>
      <c r="M499" s="1" t="s">
        <v>169</v>
      </c>
      <c r="N499" s="1" t="s">
        <v>25</v>
      </c>
      <c r="O499" s="1" t="s">
        <v>41</v>
      </c>
      <c r="P499" s="1" t="s">
        <v>27</v>
      </c>
      <c r="Q499" s="1" t="s">
        <v>2786</v>
      </c>
      <c r="R499" s="1" t="b">
        <f>COUNTIF(  Papers!G:G, RAW_DATA!Q499 ) = 0</f>
        <v>0</v>
      </c>
      <c r="S499" s="1" t="b">
        <f t="shared" si="1"/>
        <v>0</v>
      </c>
    </row>
    <row r="500" spans="1:19" ht="15.75" customHeight="1">
      <c r="A500" s="1" t="s">
        <v>2787</v>
      </c>
      <c r="B500" s="1" t="s">
        <v>2788</v>
      </c>
      <c r="C500" s="1">
        <v>2024</v>
      </c>
      <c r="D500" s="1" t="s">
        <v>104</v>
      </c>
      <c r="E500" s="1">
        <v>110</v>
      </c>
      <c r="G500" s="1">
        <v>102472</v>
      </c>
      <c r="J500" s="1">
        <v>112</v>
      </c>
      <c r="K500" s="1" t="s">
        <v>2789</v>
      </c>
      <c r="L500" s="1" t="s">
        <v>2790</v>
      </c>
      <c r="M500" s="1" t="s">
        <v>1148</v>
      </c>
      <c r="N500" s="1" t="s">
        <v>25</v>
      </c>
      <c r="P500" s="1" t="s">
        <v>27</v>
      </c>
      <c r="Q500" s="1" t="s">
        <v>2791</v>
      </c>
      <c r="R500" s="1" t="b">
        <f>COUNTIF(  Papers!G:G, RAW_DATA!Q500 ) = 0</f>
        <v>0</v>
      </c>
      <c r="S500" s="1" t="b">
        <f t="shared" si="1"/>
        <v>0</v>
      </c>
    </row>
    <row r="501" spans="1:19" ht="15.75" customHeight="1">
      <c r="A501" s="1" t="s">
        <v>2792</v>
      </c>
      <c r="B501" s="1" t="s">
        <v>2793</v>
      </c>
      <c r="C501" s="1">
        <v>2024</v>
      </c>
      <c r="D501" s="1" t="s">
        <v>247</v>
      </c>
      <c r="G501" s="1">
        <v>303</v>
      </c>
      <c r="J501" s="1">
        <v>107</v>
      </c>
      <c r="K501" s="1" t="s">
        <v>2794</v>
      </c>
      <c r="L501" s="1" t="s">
        <v>2795</v>
      </c>
      <c r="M501" s="1" t="s">
        <v>169</v>
      </c>
      <c r="N501" s="1" t="s">
        <v>25</v>
      </c>
      <c r="O501" s="1" t="s">
        <v>41</v>
      </c>
      <c r="P501" s="1" t="s">
        <v>27</v>
      </c>
      <c r="Q501" s="1" t="s">
        <v>2796</v>
      </c>
      <c r="R501" s="1" t="b">
        <f>COUNTIF(  Papers!G:G, RAW_DATA!Q501 ) = 0</f>
        <v>0</v>
      </c>
      <c r="S501" s="1" t="b">
        <f t="shared" si="1"/>
        <v>0</v>
      </c>
    </row>
    <row r="502" spans="1:19" ht="15.75" customHeight="1">
      <c r="A502" s="1" t="s">
        <v>2797</v>
      </c>
      <c r="B502" s="1" t="s">
        <v>2798</v>
      </c>
      <c r="C502" s="1">
        <v>2021</v>
      </c>
      <c r="D502" s="1" t="s">
        <v>36</v>
      </c>
      <c r="E502" s="1">
        <v>3</v>
      </c>
      <c r="F502" s="1">
        <v>2</v>
      </c>
      <c r="H502" s="1" t="s">
        <v>2799</v>
      </c>
      <c r="I502" s="1" t="s">
        <v>2800</v>
      </c>
      <c r="J502" s="1">
        <v>126</v>
      </c>
      <c r="K502" s="1" t="s">
        <v>2801</v>
      </c>
      <c r="L502" s="1" t="s">
        <v>2802</v>
      </c>
      <c r="M502" s="1" t="s">
        <v>24</v>
      </c>
      <c r="N502" s="1" t="s">
        <v>25</v>
      </c>
      <c r="O502" s="1" t="s">
        <v>26</v>
      </c>
      <c r="P502" s="1" t="s">
        <v>27</v>
      </c>
      <c r="Q502" s="1" t="s">
        <v>2803</v>
      </c>
      <c r="R502" s="1" t="b">
        <f>COUNTIF(  Papers!G:G, RAW_DATA!Q502 ) = 0</f>
        <v>0</v>
      </c>
      <c r="S502" s="1" t="b">
        <f t="shared" si="1"/>
        <v>0</v>
      </c>
    </row>
    <row r="503" spans="1:19" ht="15.75" customHeight="1">
      <c r="A503" s="1" t="s">
        <v>2804</v>
      </c>
      <c r="B503" s="1" t="s">
        <v>2805</v>
      </c>
      <c r="C503" s="1">
        <v>2022</v>
      </c>
      <c r="D503" s="1" t="s">
        <v>2806</v>
      </c>
      <c r="E503" s="1">
        <v>246</v>
      </c>
      <c r="G503" s="1">
        <v>110555</v>
      </c>
      <c r="J503" s="1">
        <v>114</v>
      </c>
      <c r="K503" s="1" t="s">
        <v>2807</v>
      </c>
      <c r="L503" s="1" t="s">
        <v>2808</v>
      </c>
      <c r="M503" s="1" t="s">
        <v>24</v>
      </c>
      <c r="N503" s="1" t="s">
        <v>25</v>
      </c>
      <c r="P503" s="1" t="s">
        <v>27</v>
      </c>
      <c r="Q503" s="1" t="s">
        <v>2809</v>
      </c>
      <c r="R503" s="1" t="b">
        <f>COUNTIF(  Papers!G:G, RAW_DATA!Q503 ) = 0</f>
        <v>0</v>
      </c>
      <c r="S503" s="1" t="b">
        <f t="shared" si="1"/>
        <v>0</v>
      </c>
    </row>
    <row r="504" spans="1:19" ht="15.75" customHeight="1">
      <c r="A504" s="1" t="s">
        <v>2810</v>
      </c>
      <c r="B504" s="1" t="s">
        <v>2811</v>
      </c>
      <c r="C504" s="1">
        <v>2022</v>
      </c>
      <c r="D504" s="1" t="s">
        <v>782</v>
      </c>
      <c r="E504" s="1">
        <v>158</v>
      </c>
      <c r="G504" s="1">
        <v>102744</v>
      </c>
      <c r="J504" s="1">
        <v>129</v>
      </c>
      <c r="K504" s="1" t="s">
        <v>2812</v>
      </c>
      <c r="L504" s="1" t="s">
        <v>2813</v>
      </c>
      <c r="M504" s="1" t="s">
        <v>54</v>
      </c>
      <c r="N504" s="1" t="s">
        <v>25</v>
      </c>
      <c r="O504" s="1" t="s">
        <v>100</v>
      </c>
      <c r="P504" s="1" t="s">
        <v>27</v>
      </c>
      <c r="Q504" s="1" t="s">
        <v>2814</v>
      </c>
      <c r="R504" s="1" t="b">
        <f>COUNTIF(  Papers!G:G, RAW_DATA!Q504 ) = 0</f>
        <v>0</v>
      </c>
      <c r="S504" s="1" t="b">
        <f t="shared" si="1"/>
        <v>0</v>
      </c>
    </row>
    <row r="505" spans="1:19" ht="15.75" customHeight="1">
      <c r="A505" s="1" t="s">
        <v>2815</v>
      </c>
      <c r="B505" s="1" t="s">
        <v>2816</v>
      </c>
      <c r="C505" s="1">
        <v>2019</v>
      </c>
      <c r="D505" s="1" t="s">
        <v>304</v>
      </c>
      <c r="E505" s="1">
        <v>65</v>
      </c>
      <c r="H505" s="1">
        <v>522</v>
      </c>
      <c r="I505" s="1">
        <v>535</v>
      </c>
      <c r="J505" s="1">
        <v>131</v>
      </c>
      <c r="K505" s="1" t="s">
        <v>2817</v>
      </c>
      <c r="L505" s="1" t="s">
        <v>2818</v>
      </c>
      <c r="M505" s="1" t="s">
        <v>54</v>
      </c>
      <c r="N505" s="1" t="s">
        <v>25</v>
      </c>
      <c r="P505" s="1" t="s">
        <v>27</v>
      </c>
      <c r="Q505" s="1" t="s">
        <v>2819</v>
      </c>
      <c r="R505" s="1" t="b">
        <f>COUNTIF(  Papers!G:G, RAW_DATA!Q505 ) = 0</f>
        <v>0</v>
      </c>
      <c r="S505" s="1" t="b">
        <f t="shared" si="1"/>
        <v>0</v>
      </c>
    </row>
    <row r="506" spans="1:19" ht="15.75" customHeight="1">
      <c r="A506" s="1" t="s">
        <v>2820</v>
      </c>
      <c r="B506" s="1" t="s">
        <v>2821</v>
      </c>
      <c r="C506" s="1">
        <v>2022</v>
      </c>
      <c r="D506" s="1" t="s">
        <v>206</v>
      </c>
      <c r="E506" s="1">
        <v>177</v>
      </c>
      <c r="G506" s="1">
        <v>121550</v>
      </c>
      <c r="J506" s="1">
        <v>109</v>
      </c>
      <c r="K506" s="1" t="s">
        <v>2822</v>
      </c>
      <c r="L506" s="1" t="s">
        <v>2823</v>
      </c>
      <c r="M506" s="1" t="s">
        <v>54</v>
      </c>
      <c r="N506" s="1" t="s">
        <v>25</v>
      </c>
      <c r="P506" s="1" t="s">
        <v>27</v>
      </c>
      <c r="Q506" s="1" t="s">
        <v>2824</v>
      </c>
      <c r="R506" s="1" t="b">
        <f>COUNTIF(  Papers!G:G, RAW_DATA!Q506 ) = 0</f>
        <v>0</v>
      </c>
      <c r="S506" s="1" t="b">
        <f t="shared" si="1"/>
        <v>0</v>
      </c>
    </row>
    <row r="507" spans="1:19" ht="15.75" customHeight="1">
      <c r="A507" s="1" t="s">
        <v>2825</v>
      </c>
      <c r="B507" s="1" t="s">
        <v>2826</v>
      </c>
      <c r="C507" s="1">
        <v>2022</v>
      </c>
      <c r="D507" s="1" t="s">
        <v>927</v>
      </c>
      <c r="E507" s="1">
        <v>12</v>
      </c>
      <c r="F507" s="1">
        <v>3</v>
      </c>
      <c r="G507" s="1">
        <v>1295</v>
      </c>
      <c r="J507" s="1">
        <v>111</v>
      </c>
      <c r="K507" s="1" t="s">
        <v>2827</v>
      </c>
      <c r="L507" s="1" t="s">
        <v>2828</v>
      </c>
      <c r="M507" s="1" t="s">
        <v>24</v>
      </c>
      <c r="N507" s="1" t="s">
        <v>25</v>
      </c>
      <c r="O507" s="1" t="s">
        <v>26</v>
      </c>
      <c r="P507" s="1" t="s">
        <v>27</v>
      </c>
      <c r="Q507" s="1" t="s">
        <v>2829</v>
      </c>
      <c r="R507" s="1" t="b">
        <f>COUNTIF(  Papers!G:G, RAW_DATA!Q507 ) = 0</f>
        <v>0</v>
      </c>
      <c r="S507" s="1" t="b">
        <f t="shared" si="1"/>
        <v>0</v>
      </c>
    </row>
    <row r="508" spans="1:19" ht="15.75" customHeight="1">
      <c r="A508" s="1" t="s">
        <v>2830</v>
      </c>
      <c r="B508" s="1" t="s">
        <v>2831</v>
      </c>
      <c r="C508" s="1">
        <v>2021</v>
      </c>
      <c r="D508" s="1" t="s">
        <v>77</v>
      </c>
      <c r="E508" s="1">
        <v>23</v>
      </c>
      <c r="F508" s="1">
        <v>1</v>
      </c>
      <c r="G508" s="1" t="s">
        <v>2832</v>
      </c>
      <c r="J508" s="1">
        <v>118</v>
      </c>
      <c r="K508" s="1" t="s">
        <v>2833</v>
      </c>
      <c r="L508" s="1" t="s">
        <v>2834</v>
      </c>
      <c r="M508" s="1" t="s">
        <v>54</v>
      </c>
      <c r="N508" s="1" t="s">
        <v>25</v>
      </c>
      <c r="O508" s="1" t="s">
        <v>26</v>
      </c>
      <c r="P508" s="1" t="s">
        <v>27</v>
      </c>
      <c r="Q508" s="1" t="s">
        <v>2835</v>
      </c>
      <c r="R508" s="1" t="b">
        <f>COUNTIF(  Papers!G:G, RAW_DATA!Q508 ) = 0</f>
        <v>0</v>
      </c>
      <c r="S508" s="1" t="b">
        <f t="shared" si="1"/>
        <v>0</v>
      </c>
    </row>
    <row r="509" spans="1:19" ht="15.75" customHeight="1">
      <c r="A509" s="1" t="s">
        <v>2836</v>
      </c>
      <c r="B509" s="1" t="s">
        <v>2837</v>
      </c>
      <c r="C509" s="1">
        <v>2023</v>
      </c>
      <c r="D509" s="1" t="s">
        <v>403</v>
      </c>
      <c r="E509" s="1">
        <v>15</v>
      </c>
      <c r="F509" s="1">
        <v>7</v>
      </c>
      <c r="H509" s="1">
        <v>1101</v>
      </c>
      <c r="I509" s="1">
        <v>1114</v>
      </c>
      <c r="J509" s="1">
        <v>102</v>
      </c>
      <c r="K509" s="1" t="s">
        <v>2838</v>
      </c>
      <c r="L509" s="1" t="s">
        <v>2839</v>
      </c>
      <c r="M509" s="1" t="s">
        <v>24</v>
      </c>
      <c r="N509" s="1" t="s">
        <v>25</v>
      </c>
      <c r="P509" s="1" t="s">
        <v>27</v>
      </c>
      <c r="Q509" s="1" t="s">
        <v>2840</v>
      </c>
      <c r="R509" s="1" t="b">
        <f>COUNTIF(  Papers!G:G, RAW_DATA!Q509 ) = 0</f>
        <v>0</v>
      </c>
      <c r="S509" s="1" t="b">
        <f t="shared" si="1"/>
        <v>0</v>
      </c>
    </row>
    <row r="510" spans="1:19" ht="15.75" customHeight="1">
      <c r="A510" s="1" t="s">
        <v>2841</v>
      </c>
      <c r="B510" s="1" t="s">
        <v>2842</v>
      </c>
      <c r="C510" s="1">
        <v>2021</v>
      </c>
      <c r="D510" s="1" t="s">
        <v>2843</v>
      </c>
      <c r="E510" s="1">
        <v>2</v>
      </c>
      <c r="F510" s="1">
        <v>2</v>
      </c>
      <c r="J510" s="1">
        <v>119</v>
      </c>
      <c r="K510" s="1" t="s">
        <v>2844</v>
      </c>
      <c r="L510" s="1" t="s">
        <v>2845</v>
      </c>
      <c r="M510" s="1" t="s">
        <v>54</v>
      </c>
      <c r="N510" s="1" t="s">
        <v>25</v>
      </c>
      <c r="O510" s="1" t="s">
        <v>26</v>
      </c>
      <c r="P510" s="1" t="s">
        <v>27</v>
      </c>
      <c r="Q510" s="1" t="s">
        <v>2846</v>
      </c>
      <c r="R510" s="1" t="b">
        <f>COUNTIF(  Papers!G:G, RAW_DATA!Q510 ) = 0</f>
        <v>0</v>
      </c>
      <c r="S510" s="1" t="b">
        <f t="shared" si="1"/>
        <v>0</v>
      </c>
    </row>
    <row r="511" spans="1:19" ht="15.75" customHeight="1">
      <c r="A511" s="1" t="s">
        <v>2847</v>
      </c>
      <c r="B511" s="1" t="s">
        <v>2848</v>
      </c>
      <c r="C511" s="1">
        <v>2024</v>
      </c>
      <c r="D511" s="1" t="s">
        <v>2849</v>
      </c>
      <c r="E511" s="1">
        <v>3</v>
      </c>
      <c r="G511" s="1" t="s">
        <v>2850</v>
      </c>
      <c r="J511" s="1">
        <v>103</v>
      </c>
      <c r="K511" s="1" t="s">
        <v>2851</v>
      </c>
      <c r="L511" s="1" t="s">
        <v>2852</v>
      </c>
      <c r="M511" s="1" t="s">
        <v>24</v>
      </c>
      <c r="N511" s="1" t="s">
        <v>25</v>
      </c>
      <c r="O511" s="1" t="s">
        <v>26</v>
      </c>
      <c r="P511" s="1" t="s">
        <v>27</v>
      </c>
      <c r="Q511" s="1" t="s">
        <v>2853</v>
      </c>
      <c r="R511" s="1" t="b">
        <f>COUNTIF(  Papers!G:G, RAW_DATA!Q511 ) = 0</f>
        <v>0</v>
      </c>
      <c r="S511" s="1" t="b">
        <f t="shared" si="1"/>
        <v>0</v>
      </c>
    </row>
    <row r="512" spans="1:19" ht="15.75" customHeight="1">
      <c r="A512" s="1" t="s">
        <v>2854</v>
      </c>
      <c r="B512" s="1" t="s">
        <v>2855</v>
      </c>
      <c r="C512" s="1">
        <v>2020</v>
      </c>
      <c r="D512" s="1" t="s">
        <v>2006</v>
      </c>
      <c r="E512" s="1">
        <v>138</v>
      </c>
      <c r="H512" s="1">
        <v>92</v>
      </c>
      <c r="I512" s="1">
        <v>104</v>
      </c>
      <c r="J512" s="1">
        <v>104</v>
      </c>
      <c r="K512" s="1" t="s">
        <v>2856</v>
      </c>
      <c r="L512" s="1" t="s">
        <v>2857</v>
      </c>
      <c r="M512" s="1" t="s">
        <v>54</v>
      </c>
      <c r="N512" s="1" t="s">
        <v>25</v>
      </c>
      <c r="P512" s="1" t="s">
        <v>27</v>
      </c>
      <c r="Q512" s="1" t="s">
        <v>2858</v>
      </c>
      <c r="R512" s="1" t="b">
        <f>COUNTIF(  Papers!G:G, RAW_DATA!Q512 ) = 0</f>
        <v>0</v>
      </c>
      <c r="S512" s="1" t="b">
        <f t="shared" ref="S512:S601" si="2">(COUNTIF(B:B, B512) &gt; 1 )</f>
        <v>0</v>
      </c>
    </row>
    <row r="513" spans="1:19" ht="15.75" customHeight="1">
      <c r="A513" s="1" t="s">
        <v>2859</v>
      </c>
      <c r="B513" s="1" t="s">
        <v>2860</v>
      </c>
      <c r="C513" s="1">
        <v>2023</v>
      </c>
      <c r="D513" s="1" t="s">
        <v>21</v>
      </c>
      <c r="E513" s="1">
        <v>11</v>
      </c>
      <c r="H513" s="1">
        <v>55748</v>
      </c>
      <c r="I513" s="1">
        <v>55754</v>
      </c>
      <c r="J513" s="1">
        <v>131</v>
      </c>
      <c r="K513" s="1" t="s">
        <v>2861</v>
      </c>
      <c r="L513" s="1" t="s">
        <v>2862</v>
      </c>
      <c r="M513" s="1" t="s">
        <v>54</v>
      </c>
      <c r="N513" s="1" t="s">
        <v>25</v>
      </c>
      <c r="O513" s="1" t="s">
        <v>26</v>
      </c>
      <c r="P513" s="1" t="s">
        <v>27</v>
      </c>
      <c r="Q513" s="1" t="s">
        <v>2863</v>
      </c>
      <c r="R513" s="1" t="b">
        <f>COUNTIF(  Papers!G:G, RAW_DATA!Q513 ) = 0</f>
        <v>0</v>
      </c>
      <c r="S513" s="1" t="b">
        <f t="shared" si="2"/>
        <v>0</v>
      </c>
    </row>
    <row r="514" spans="1:19" ht="15.75" customHeight="1">
      <c r="A514" s="1" t="s">
        <v>2864</v>
      </c>
      <c r="B514" s="1" t="s">
        <v>2865</v>
      </c>
      <c r="C514" s="1">
        <v>2021</v>
      </c>
      <c r="D514" s="1" t="s">
        <v>2866</v>
      </c>
      <c r="E514" s="1" t="s">
        <v>2867</v>
      </c>
      <c r="H514" s="1">
        <v>5463</v>
      </c>
      <c r="I514" s="1">
        <v>5472</v>
      </c>
      <c r="J514" s="1">
        <v>129</v>
      </c>
      <c r="L514" s="1" t="s">
        <v>2868</v>
      </c>
      <c r="M514" s="1" t="s">
        <v>169</v>
      </c>
      <c r="N514" s="1" t="s">
        <v>25</v>
      </c>
      <c r="P514" s="1" t="s">
        <v>27</v>
      </c>
      <c r="Q514" s="1" t="s">
        <v>2869</v>
      </c>
      <c r="R514" s="1" t="b">
        <f>COUNTIF(  Papers!G:G, RAW_DATA!Q514 ) = 0</f>
        <v>0</v>
      </c>
      <c r="S514" s="1" t="b">
        <f t="shared" si="2"/>
        <v>0</v>
      </c>
    </row>
    <row r="515" spans="1:19" ht="15.75" customHeight="1">
      <c r="A515" s="1" t="s">
        <v>2870</v>
      </c>
      <c r="B515" s="1" t="s">
        <v>2871</v>
      </c>
      <c r="C515" s="1">
        <v>2023</v>
      </c>
      <c r="D515" s="1" t="s">
        <v>436</v>
      </c>
      <c r="E515" s="1">
        <v>7</v>
      </c>
      <c r="F515" s="1" t="s">
        <v>1782</v>
      </c>
      <c r="G515" s="1">
        <v>370</v>
      </c>
      <c r="J515" s="1">
        <v>114</v>
      </c>
      <c r="K515" s="1" t="s">
        <v>2872</v>
      </c>
      <c r="L515" s="1" t="s">
        <v>2873</v>
      </c>
      <c r="M515" s="1" t="s">
        <v>54</v>
      </c>
      <c r="N515" s="1" t="s">
        <v>25</v>
      </c>
      <c r="O515" s="1" t="s">
        <v>55</v>
      </c>
      <c r="P515" s="1" t="s">
        <v>27</v>
      </c>
      <c r="Q515" s="1" t="s">
        <v>2874</v>
      </c>
      <c r="R515" s="1" t="b">
        <f>COUNTIF(  Papers!G:G, RAW_DATA!Q515 ) = 0</f>
        <v>0</v>
      </c>
      <c r="S515" s="1" t="b">
        <f t="shared" si="2"/>
        <v>0</v>
      </c>
    </row>
    <row r="516" spans="1:19" ht="15.75" customHeight="1">
      <c r="A516" s="1" t="s">
        <v>2875</v>
      </c>
      <c r="B516" s="1" t="s">
        <v>2876</v>
      </c>
      <c r="C516" s="1">
        <v>2024</v>
      </c>
      <c r="D516" s="1" t="s">
        <v>1317</v>
      </c>
      <c r="E516" s="1">
        <v>599</v>
      </c>
      <c r="G516" s="1">
        <v>128111</v>
      </c>
      <c r="J516" s="1">
        <v>127</v>
      </c>
      <c r="K516" s="1" t="s">
        <v>2877</v>
      </c>
      <c r="L516" s="1" t="s">
        <v>2878</v>
      </c>
      <c r="M516" s="1" t="s">
        <v>1148</v>
      </c>
      <c r="N516" s="1" t="s">
        <v>25</v>
      </c>
      <c r="O516" s="1" t="s">
        <v>113</v>
      </c>
      <c r="P516" s="1" t="s">
        <v>27</v>
      </c>
      <c r="Q516" s="1" t="s">
        <v>2879</v>
      </c>
      <c r="R516" s="1" t="b">
        <f>COUNTIF(  Papers!G:G, RAW_DATA!Q516 ) = 0</f>
        <v>0</v>
      </c>
      <c r="S516" s="1" t="b">
        <f t="shared" si="2"/>
        <v>0</v>
      </c>
    </row>
    <row r="517" spans="1:19" ht="15.75" customHeight="1">
      <c r="A517" s="1" t="s">
        <v>2880</v>
      </c>
      <c r="B517" s="1" t="s">
        <v>2881</v>
      </c>
      <c r="C517" s="1">
        <v>2017</v>
      </c>
      <c r="D517" s="1" t="s">
        <v>799</v>
      </c>
      <c r="E517" s="1">
        <v>101</v>
      </c>
      <c r="H517" s="1">
        <v>87</v>
      </c>
      <c r="I517" s="1">
        <v>96</v>
      </c>
      <c r="J517" s="1">
        <v>133</v>
      </c>
      <c r="K517" s="1" t="s">
        <v>2882</v>
      </c>
      <c r="L517" s="1" t="s">
        <v>2883</v>
      </c>
      <c r="M517" s="1" t="s">
        <v>54</v>
      </c>
      <c r="N517" s="1" t="s">
        <v>25</v>
      </c>
      <c r="P517" s="1" t="s">
        <v>27</v>
      </c>
      <c r="Q517" s="1" t="s">
        <v>2884</v>
      </c>
      <c r="R517" s="1" t="b">
        <f>COUNTIF(  Papers!G:G, RAW_DATA!Q517 ) = 0</f>
        <v>0</v>
      </c>
      <c r="S517" s="1" t="b">
        <f t="shared" si="2"/>
        <v>0</v>
      </c>
    </row>
    <row r="518" spans="1:19" ht="15.75" customHeight="1">
      <c r="A518" s="1" t="s">
        <v>2885</v>
      </c>
      <c r="B518" s="1" t="s">
        <v>2886</v>
      </c>
      <c r="C518" s="1">
        <v>2020</v>
      </c>
      <c r="D518" s="1" t="s">
        <v>304</v>
      </c>
      <c r="E518" s="1">
        <v>73</v>
      </c>
      <c r="H518" s="1">
        <v>271</v>
      </c>
      <c r="I518" s="1">
        <v>280</v>
      </c>
      <c r="J518" s="1">
        <v>124</v>
      </c>
      <c r="K518" s="1" t="s">
        <v>2887</v>
      </c>
      <c r="L518" s="1" t="s">
        <v>2888</v>
      </c>
      <c r="M518" s="1" t="s">
        <v>54</v>
      </c>
      <c r="N518" s="1" t="s">
        <v>25</v>
      </c>
      <c r="P518" s="1" t="s">
        <v>27</v>
      </c>
      <c r="Q518" s="1" t="s">
        <v>2889</v>
      </c>
      <c r="R518" s="1" t="b">
        <f>COUNTIF(  Papers!G:G, RAW_DATA!Q518 ) = 0</f>
        <v>0</v>
      </c>
      <c r="S518" s="1" t="b">
        <f t="shared" si="2"/>
        <v>0</v>
      </c>
    </row>
    <row r="519" spans="1:19" ht="15.75" customHeight="1">
      <c r="A519" s="1" t="s">
        <v>2890</v>
      </c>
      <c r="B519" s="1" t="s">
        <v>2891</v>
      </c>
      <c r="C519" s="1">
        <v>2022</v>
      </c>
      <c r="D519" s="1" t="s">
        <v>148</v>
      </c>
      <c r="E519" s="1">
        <v>32</v>
      </c>
      <c r="F519" s="1">
        <v>4</v>
      </c>
      <c r="H519" s="1">
        <v>2053</v>
      </c>
      <c r="I519" s="1">
        <v>2077</v>
      </c>
      <c r="J519" s="1">
        <v>119</v>
      </c>
      <c r="K519" s="1" t="s">
        <v>2892</v>
      </c>
      <c r="L519" s="1" t="s">
        <v>2893</v>
      </c>
      <c r="M519" s="1" t="s">
        <v>54</v>
      </c>
      <c r="N519" s="1" t="s">
        <v>25</v>
      </c>
      <c r="O519" s="1" t="s">
        <v>113</v>
      </c>
      <c r="P519" s="1" t="s">
        <v>27</v>
      </c>
      <c r="Q519" s="1" t="s">
        <v>2894</v>
      </c>
      <c r="R519" s="1" t="b">
        <f>COUNTIF(  Papers!G:G, RAW_DATA!Q519 ) = 0</f>
        <v>0</v>
      </c>
      <c r="S519" s="1" t="b">
        <f t="shared" si="2"/>
        <v>0</v>
      </c>
    </row>
    <row r="520" spans="1:19" ht="15.75" customHeight="1">
      <c r="A520" s="1" t="s">
        <v>2895</v>
      </c>
      <c r="B520" s="1" t="s">
        <v>2896</v>
      </c>
      <c r="C520" s="1">
        <v>2019</v>
      </c>
      <c r="D520" s="1" t="s">
        <v>2006</v>
      </c>
      <c r="E520" s="1">
        <v>129</v>
      </c>
      <c r="H520" s="1">
        <v>1</v>
      </c>
      <c r="I520" s="1">
        <v>18</v>
      </c>
      <c r="J520" s="1">
        <v>124</v>
      </c>
      <c r="K520" s="1" t="s">
        <v>2897</v>
      </c>
      <c r="L520" s="1" t="s">
        <v>2898</v>
      </c>
      <c r="M520" s="1" t="s">
        <v>54</v>
      </c>
      <c r="N520" s="1" t="s">
        <v>25</v>
      </c>
      <c r="P520" s="1" t="s">
        <v>27</v>
      </c>
      <c r="Q520" s="1" t="s">
        <v>2899</v>
      </c>
      <c r="R520" s="1" t="b">
        <f>COUNTIF(  Papers!G:G, RAW_DATA!Q520 ) = 0</f>
        <v>0</v>
      </c>
      <c r="S520" s="1" t="b">
        <f t="shared" si="2"/>
        <v>0</v>
      </c>
    </row>
    <row r="521" spans="1:19" ht="15.75" customHeight="1">
      <c r="A521" s="1" t="s">
        <v>2900</v>
      </c>
      <c r="B521" s="1" t="s">
        <v>2901</v>
      </c>
      <c r="C521" s="1">
        <v>2017</v>
      </c>
      <c r="D521" s="1" t="s">
        <v>2902</v>
      </c>
      <c r="E521" s="1">
        <v>46</v>
      </c>
      <c r="H521" s="1">
        <v>26</v>
      </c>
      <c r="I521" s="1">
        <v>39</v>
      </c>
      <c r="J521" s="1">
        <v>120</v>
      </c>
      <c r="K521" s="1" t="s">
        <v>2903</v>
      </c>
      <c r="L521" s="1" t="s">
        <v>2904</v>
      </c>
      <c r="M521" s="1" t="s">
        <v>24</v>
      </c>
      <c r="N521" s="1" t="s">
        <v>25</v>
      </c>
      <c r="P521" s="1" t="s">
        <v>27</v>
      </c>
      <c r="Q521" s="1" t="s">
        <v>2905</v>
      </c>
      <c r="R521" s="1" t="b">
        <f>COUNTIF(  Papers!G:G, RAW_DATA!Q521 ) = 0</f>
        <v>0</v>
      </c>
      <c r="S521" s="1" t="b">
        <f t="shared" si="2"/>
        <v>0</v>
      </c>
    </row>
    <row r="522" spans="1:19" ht="15.75" customHeight="1">
      <c r="A522" s="1" t="s">
        <v>2906</v>
      </c>
      <c r="B522" s="1" t="s">
        <v>2907</v>
      </c>
      <c r="C522" s="1">
        <v>2016</v>
      </c>
      <c r="D522" s="1" t="s">
        <v>2908</v>
      </c>
      <c r="E522" s="1">
        <v>49</v>
      </c>
      <c r="F522" s="1">
        <v>32</v>
      </c>
      <c r="H522" s="1">
        <v>48</v>
      </c>
      <c r="I522" s="1">
        <v>53</v>
      </c>
      <c r="J522" s="1">
        <v>102</v>
      </c>
      <c r="K522" s="1" t="s">
        <v>2909</v>
      </c>
      <c r="L522" s="1" t="s">
        <v>2910</v>
      </c>
      <c r="M522" s="1" t="s">
        <v>169</v>
      </c>
      <c r="N522" s="1" t="s">
        <v>25</v>
      </c>
      <c r="O522" s="1" t="s">
        <v>26</v>
      </c>
      <c r="P522" s="1" t="s">
        <v>27</v>
      </c>
      <c r="Q522" s="1" t="s">
        <v>2911</v>
      </c>
      <c r="R522" s="1" t="b">
        <f>COUNTIF(  Papers!G:G, RAW_DATA!Q522 ) = 0</f>
        <v>0</v>
      </c>
      <c r="S522" s="1" t="b">
        <f t="shared" si="2"/>
        <v>0</v>
      </c>
    </row>
    <row r="523" spans="1:19" ht="15.75" customHeight="1">
      <c r="A523" s="1" t="s">
        <v>2912</v>
      </c>
      <c r="B523" s="1" t="s">
        <v>2913</v>
      </c>
      <c r="C523" s="1">
        <v>2022</v>
      </c>
      <c r="D523" s="1" t="s">
        <v>2914</v>
      </c>
      <c r="E523" s="1">
        <v>3</v>
      </c>
      <c r="F523" s="1">
        <v>2</v>
      </c>
      <c r="G523" s="1">
        <v>15</v>
      </c>
      <c r="J523" s="1">
        <v>105</v>
      </c>
      <c r="K523" s="1" t="s">
        <v>2915</v>
      </c>
      <c r="L523" s="1" t="s">
        <v>2916</v>
      </c>
      <c r="M523" s="1" t="s">
        <v>54</v>
      </c>
      <c r="N523" s="1" t="s">
        <v>25</v>
      </c>
      <c r="O523" s="1" t="s">
        <v>100</v>
      </c>
      <c r="P523" s="1" t="s">
        <v>27</v>
      </c>
      <c r="Q523" s="1" t="s">
        <v>2917</v>
      </c>
      <c r="R523" s="1" t="b">
        <f>COUNTIF(  Papers!G:G, RAW_DATA!Q523 ) = 0</f>
        <v>0</v>
      </c>
      <c r="S523" s="1" t="b">
        <f t="shared" si="2"/>
        <v>0</v>
      </c>
    </row>
    <row r="524" spans="1:19" ht="15.75" customHeight="1">
      <c r="A524" s="1" t="s">
        <v>2918</v>
      </c>
      <c r="B524" s="1" t="s">
        <v>2919</v>
      </c>
      <c r="C524" s="1">
        <v>2022</v>
      </c>
      <c r="D524" s="1" t="s">
        <v>541</v>
      </c>
      <c r="E524" s="1">
        <v>33</v>
      </c>
      <c r="F524" s="1">
        <v>1</v>
      </c>
      <c r="H524" s="1">
        <v>59</v>
      </c>
      <c r="I524" s="1">
        <v>82</v>
      </c>
      <c r="J524" s="1">
        <v>131</v>
      </c>
      <c r="K524" s="1" t="s">
        <v>2920</v>
      </c>
      <c r="L524" s="1" t="s">
        <v>2921</v>
      </c>
      <c r="M524" s="1" t="s">
        <v>54</v>
      </c>
      <c r="N524" s="1" t="s">
        <v>25</v>
      </c>
      <c r="O524" s="1" t="s">
        <v>113</v>
      </c>
      <c r="P524" s="1" t="s">
        <v>27</v>
      </c>
      <c r="Q524" s="1" t="s">
        <v>2922</v>
      </c>
      <c r="R524" s="1" t="b">
        <f>COUNTIF(  Papers!G:G, RAW_DATA!Q524 ) = 0</f>
        <v>0</v>
      </c>
      <c r="S524" s="1" t="b">
        <f t="shared" si="2"/>
        <v>0</v>
      </c>
    </row>
    <row r="525" spans="1:19" ht="15.75" customHeight="1">
      <c r="A525" s="1" t="s">
        <v>2923</v>
      </c>
      <c r="B525" s="1" t="s">
        <v>2924</v>
      </c>
      <c r="C525" s="1">
        <v>2022</v>
      </c>
      <c r="D525" s="1" t="s">
        <v>799</v>
      </c>
      <c r="E525" s="1">
        <v>172</v>
      </c>
      <c r="G525" s="1">
        <v>106686</v>
      </c>
      <c r="J525" s="1">
        <v>103</v>
      </c>
      <c r="K525" s="1" t="s">
        <v>2925</v>
      </c>
      <c r="L525" s="1" t="s">
        <v>2926</v>
      </c>
      <c r="M525" s="1" t="s">
        <v>54</v>
      </c>
      <c r="N525" s="1" t="s">
        <v>25</v>
      </c>
      <c r="P525" s="1" t="s">
        <v>27</v>
      </c>
      <c r="Q525" s="1" t="s">
        <v>2927</v>
      </c>
      <c r="R525" s="1" t="b">
        <f>COUNTIF(  Papers!G:G, RAW_DATA!Q525 ) = 0</f>
        <v>0</v>
      </c>
      <c r="S525" s="1" t="b">
        <f t="shared" si="2"/>
        <v>0</v>
      </c>
    </row>
    <row r="526" spans="1:19" ht="15.75" customHeight="1">
      <c r="A526" s="1" t="s">
        <v>2928</v>
      </c>
      <c r="B526" s="1" t="s">
        <v>2929</v>
      </c>
      <c r="C526" s="1">
        <v>2022</v>
      </c>
      <c r="D526" s="1" t="s">
        <v>247</v>
      </c>
      <c r="G526" s="1">
        <v>52</v>
      </c>
      <c r="J526" s="1">
        <v>106</v>
      </c>
      <c r="K526" s="1" t="s">
        <v>2930</v>
      </c>
      <c r="L526" s="1" t="s">
        <v>2931</v>
      </c>
      <c r="M526" s="1" t="s">
        <v>169</v>
      </c>
      <c r="N526" s="1" t="s">
        <v>25</v>
      </c>
      <c r="O526" s="1" t="s">
        <v>324</v>
      </c>
      <c r="P526" s="1" t="s">
        <v>27</v>
      </c>
      <c r="Q526" s="1" t="s">
        <v>2932</v>
      </c>
      <c r="R526" s="1" t="b">
        <f>COUNTIF(  Papers!G:G, RAW_DATA!Q526 ) = 0</f>
        <v>0</v>
      </c>
      <c r="S526" s="1" t="b">
        <f t="shared" si="2"/>
        <v>0</v>
      </c>
    </row>
    <row r="527" spans="1:19" ht="15.75" customHeight="1">
      <c r="A527" s="1" t="s">
        <v>2933</v>
      </c>
      <c r="B527" s="1" t="s">
        <v>2934</v>
      </c>
      <c r="C527" s="1">
        <v>2019</v>
      </c>
      <c r="D527" s="1" t="s">
        <v>2935</v>
      </c>
      <c r="H527" s="1">
        <v>211</v>
      </c>
      <c r="I527" s="1">
        <v>221</v>
      </c>
      <c r="J527" s="1">
        <v>120</v>
      </c>
      <c r="K527" s="1" t="s">
        <v>2936</v>
      </c>
      <c r="L527" s="1" t="s">
        <v>2937</v>
      </c>
      <c r="M527" s="1" t="s">
        <v>169</v>
      </c>
      <c r="N527" s="1" t="s">
        <v>25</v>
      </c>
      <c r="P527" s="1" t="s">
        <v>27</v>
      </c>
      <c r="Q527" s="1" t="s">
        <v>2938</v>
      </c>
      <c r="R527" s="1" t="b">
        <f>COUNTIF(  Papers!G:G, RAW_DATA!Q527 ) = 0</f>
        <v>0</v>
      </c>
      <c r="S527" s="1" t="b">
        <f t="shared" si="2"/>
        <v>0</v>
      </c>
    </row>
    <row r="528" spans="1:19" ht="15.75" customHeight="1">
      <c r="A528" s="1" t="s">
        <v>2939</v>
      </c>
      <c r="B528" s="1" t="s">
        <v>2940</v>
      </c>
      <c r="C528" s="1">
        <v>2022</v>
      </c>
      <c r="D528" s="1" t="s">
        <v>90</v>
      </c>
      <c r="E528" s="1">
        <v>13</v>
      </c>
      <c r="G528" s="1">
        <v>884830</v>
      </c>
      <c r="J528" s="1">
        <v>129</v>
      </c>
      <c r="K528" s="1" t="s">
        <v>2941</v>
      </c>
      <c r="L528" s="1" t="s">
        <v>2942</v>
      </c>
      <c r="M528" s="1" t="s">
        <v>54</v>
      </c>
      <c r="N528" s="1" t="s">
        <v>25</v>
      </c>
      <c r="O528" s="1" t="s">
        <v>26</v>
      </c>
      <c r="P528" s="1" t="s">
        <v>27</v>
      </c>
      <c r="Q528" s="1" t="s">
        <v>2943</v>
      </c>
      <c r="R528" s="1" t="b">
        <f>COUNTIF(  Papers!G:G, RAW_DATA!Q528 ) = 0</f>
        <v>0</v>
      </c>
      <c r="S528" s="1" t="b">
        <f t="shared" si="2"/>
        <v>0</v>
      </c>
    </row>
    <row r="529" spans="1:19" ht="15.75" customHeight="1">
      <c r="A529" s="1" t="s">
        <v>2944</v>
      </c>
      <c r="B529" s="1" t="s">
        <v>2945</v>
      </c>
      <c r="C529" s="1">
        <v>2024</v>
      </c>
      <c r="D529" s="1" t="s">
        <v>270</v>
      </c>
      <c r="E529" s="1">
        <v>112</v>
      </c>
      <c r="F529" s="1">
        <v>2</v>
      </c>
      <c r="H529" s="1">
        <v>97</v>
      </c>
      <c r="I529" s="1">
        <v>139</v>
      </c>
      <c r="J529" s="1">
        <v>102</v>
      </c>
      <c r="K529" s="1" t="s">
        <v>2946</v>
      </c>
      <c r="L529" s="1" t="s">
        <v>2947</v>
      </c>
      <c r="M529" s="1" t="s">
        <v>54</v>
      </c>
      <c r="N529" s="1" t="s">
        <v>25</v>
      </c>
      <c r="P529" s="1" t="s">
        <v>27</v>
      </c>
      <c r="Q529" s="1" t="s">
        <v>2948</v>
      </c>
      <c r="R529" s="1" t="b">
        <f>COUNTIF(  Papers!G:G, RAW_DATA!Q529 ) = 0</f>
        <v>0</v>
      </c>
      <c r="S529" s="1" t="b">
        <f t="shared" si="2"/>
        <v>0</v>
      </c>
    </row>
    <row r="530" spans="1:19" ht="15.75" customHeight="1">
      <c r="A530" s="1" t="s">
        <v>2949</v>
      </c>
      <c r="B530" s="1" t="s">
        <v>2950</v>
      </c>
      <c r="C530" s="1">
        <v>2016</v>
      </c>
      <c r="D530" s="1" t="s">
        <v>2951</v>
      </c>
      <c r="E530" s="1">
        <v>8</v>
      </c>
      <c r="F530" s="1">
        <v>3</v>
      </c>
      <c r="H530" s="1">
        <v>206</v>
      </c>
      <c r="I530" s="1">
        <v>222</v>
      </c>
      <c r="J530" s="1">
        <v>107</v>
      </c>
      <c r="K530" s="1" t="s">
        <v>2952</v>
      </c>
      <c r="L530" s="1" t="s">
        <v>2953</v>
      </c>
      <c r="M530" s="1" t="s">
        <v>54</v>
      </c>
      <c r="N530" s="1" t="s">
        <v>25</v>
      </c>
      <c r="O530" s="1" t="s">
        <v>113</v>
      </c>
      <c r="P530" s="1" t="s">
        <v>27</v>
      </c>
      <c r="Q530" s="1" t="s">
        <v>2954</v>
      </c>
      <c r="R530" s="1" t="b">
        <f>COUNTIF(  Papers!G:G, RAW_DATA!Q530 ) = 0</f>
        <v>0</v>
      </c>
      <c r="S530" s="1" t="b">
        <f t="shared" si="2"/>
        <v>0</v>
      </c>
    </row>
    <row r="531" spans="1:19" ht="15.75" customHeight="1">
      <c r="A531" s="1" t="s">
        <v>2955</v>
      </c>
      <c r="B531" s="1" t="s">
        <v>2956</v>
      </c>
      <c r="C531" s="1">
        <v>2023</v>
      </c>
      <c r="D531" s="1" t="s">
        <v>1861</v>
      </c>
      <c r="E531" s="1">
        <v>5</v>
      </c>
      <c r="G531" s="1">
        <v>1113903</v>
      </c>
      <c r="J531" s="1">
        <v>101</v>
      </c>
      <c r="K531" s="1" t="s">
        <v>2957</v>
      </c>
      <c r="L531" s="1" t="s">
        <v>2958</v>
      </c>
      <c r="M531" s="1" t="s">
        <v>54</v>
      </c>
      <c r="N531" s="1" t="s">
        <v>25</v>
      </c>
      <c r="O531" s="1" t="s">
        <v>26</v>
      </c>
      <c r="P531" s="1" t="s">
        <v>27</v>
      </c>
      <c r="Q531" s="1" t="s">
        <v>2959</v>
      </c>
      <c r="R531" s="1" t="b">
        <f>COUNTIF(  Papers!G:G, RAW_DATA!Q531 ) = 0</f>
        <v>0</v>
      </c>
      <c r="S531" s="1" t="b">
        <f t="shared" si="2"/>
        <v>0</v>
      </c>
    </row>
    <row r="532" spans="1:19" ht="15.75" customHeight="1">
      <c r="A532" s="1" t="s">
        <v>2960</v>
      </c>
      <c r="B532" s="1" t="s">
        <v>2961</v>
      </c>
      <c r="C532" s="1">
        <v>2021</v>
      </c>
      <c r="D532" s="1" t="s">
        <v>2962</v>
      </c>
      <c r="E532" s="1">
        <v>8</v>
      </c>
      <c r="F532" s="1">
        <v>1</v>
      </c>
      <c r="G532" s="1">
        <v>60</v>
      </c>
      <c r="J532" s="1">
        <v>101</v>
      </c>
      <c r="K532" s="1" t="s">
        <v>2963</v>
      </c>
      <c r="L532" s="1" t="s">
        <v>2964</v>
      </c>
      <c r="M532" s="1" t="s">
        <v>54</v>
      </c>
      <c r="N532" s="1" t="s">
        <v>25</v>
      </c>
      <c r="O532" s="1" t="s">
        <v>26</v>
      </c>
      <c r="P532" s="1" t="s">
        <v>27</v>
      </c>
      <c r="Q532" s="1" t="s">
        <v>2965</v>
      </c>
      <c r="R532" s="1" t="b">
        <f>COUNTIF(  Papers!G:G, RAW_DATA!Q532 ) = 0</f>
        <v>0</v>
      </c>
      <c r="S532" s="1" t="b">
        <f t="shared" si="2"/>
        <v>0</v>
      </c>
    </row>
    <row r="533" spans="1:19" ht="15.75" customHeight="1">
      <c r="A533" s="1" t="s">
        <v>2966</v>
      </c>
      <c r="B533" s="1" t="s">
        <v>2967</v>
      </c>
      <c r="C533" s="1">
        <v>2019</v>
      </c>
      <c r="D533" s="1" t="s">
        <v>90</v>
      </c>
      <c r="E533" s="1">
        <v>10</v>
      </c>
      <c r="F533" s="1" t="s">
        <v>2968</v>
      </c>
      <c r="G533" s="1">
        <v>225</v>
      </c>
      <c r="J533" s="1">
        <v>102</v>
      </c>
      <c r="K533" s="1" t="s">
        <v>2969</v>
      </c>
      <c r="L533" s="1" t="s">
        <v>2970</v>
      </c>
      <c r="M533" s="1" t="s">
        <v>54</v>
      </c>
      <c r="N533" s="1" t="s">
        <v>25</v>
      </c>
      <c r="O533" s="1" t="s">
        <v>26</v>
      </c>
      <c r="P533" s="1" t="s">
        <v>27</v>
      </c>
      <c r="Q533" s="1" t="s">
        <v>2971</v>
      </c>
      <c r="R533" s="1" t="b">
        <f>COUNTIF(  Papers!G:G, RAW_DATA!Q533 ) = 0</f>
        <v>0</v>
      </c>
      <c r="S533" s="1" t="b">
        <f t="shared" si="2"/>
        <v>0</v>
      </c>
    </row>
    <row r="534" spans="1:19" ht="15.75" customHeight="1">
      <c r="A534" s="1" t="s">
        <v>2972</v>
      </c>
      <c r="B534" s="1" t="s">
        <v>2973</v>
      </c>
      <c r="C534" s="1">
        <v>2017</v>
      </c>
      <c r="D534" s="1" t="s">
        <v>84</v>
      </c>
      <c r="E534" s="1">
        <v>59</v>
      </c>
      <c r="F534" s="1">
        <v>3</v>
      </c>
      <c r="H534" s="1">
        <v>333</v>
      </c>
      <c r="I534" s="1">
        <v>345</v>
      </c>
      <c r="J534" s="1">
        <v>133</v>
      </c>
      <c r="K534" s="1" t="s">
        <v>2974</v>
      </c>
      <c r="L534" s="1" t="s">
        <v>2975</v>
      </c>
      <c r="M534" s="1" t="s">
        <v>54</v>
      </c>
      <c r="N534" s="1" t="s">
        <v>25</v>
      </c>
      <c r="P534" s="1" t="s">
        <v>27</v>
      </c>
      <c r="Q534" s="1" t="s">
        <v>2976</v>
      </c>
      <c r="R534" s="1" t="b">
        <f>COUNTIF(  Papers!G:G, RAW_DATA!Q534 ) = 0</f>
        <v>0</v>
      </c>
      <c r="S534" s="1" t="b">
        <f t="shared" si="2"/>
        <v>0</v>
      </c>
    </row>
    <row r="535" spans="1:19" ht="15.75" customHeight="1">
      <c r="A535" s="1" t="s">
        <v>2977</v>
      </c>
      <c r="B535" s="1" t="s">
        <v>2978</v>
      </c>
      <c r="C535" s="1">
        <v>2017</v>
      </c>
      <c r="D535" s="1" t="s">
        <v>2979</v>
      </c>
      <c r="E535" s="1">
        <v>94</v>
      </c>
      <c r="H535" s="1">
        <v>96</v>
      </c>
      <c r="I535" s="1">
        <v>104</v>
      </c>
      <c r="J535" s="1">
        <v>133</v>
      </c>
      <c r="K535" s="1" t="s">
        <v>2980</v>
      </c>
      <c r="L535" s="1" t="s">
        <v>2981</v>
      </c>
      <c r="M535" s="1" t="s">
        <v>54</v>
      </c>
      <c r="N535" s="1" t="s">
        <v>25</v>
      </c>
      <c r="O535" s="1" t="s">
        <v>55</v>
      </c>
      <c r="P535" s="1" t="s">
        <v>27</v>
      </c>
      <c r="Q535" s="1" t="s">
        <v>2982</v>
      </c>
      <c r="R535" s="1" t="b">
        <f>COUNTIF(  Papers!G:G, RAW_DATA!Q535 ) = 0</f>
        <v>0</v>
      </c>
      <c r="S535" s="1" t="b">
        <f t="shared" si="2"/>
        <v>0</v>
      </c>
    </row>
    <row r="536" spans="1:19" ht="15.75" customHeight="1">
      <c r="A536" s="1" t="s">
        <v>2983</v>
      </c>
      <c r="B536" s="1" t="s">
        <v>2984</v>
      </c>
      <c r="C536" s="1">
        <v>2020</v>
      </c>
      <c r="D536" s="1" t="s">
        <v>2985</v>
      </c>
      <c r="E536" s="1">
        <v>3</v>
      </c>
      <c r="F536" s="1">
        <v>1</v>
      </c>
      <c r="H536" s="1">
        <v>3</v>
      </c>
      <c r="I536" s="1">
        <v>19</v>
      </c>
      <c r="J536" s="1">
        <v>101</v>
      </c>
      <c r="K536" s="1" t="s">
        <v>2986</v>
      </c>
      <c r="L536" s="1" t="s">
        <v>2987</v>
      </c>
      <c r="M536" s="1" t="s">
        <v>24</v>
      </c>
      <c r="N536" s="1" t="s">
        <v>25</v>
      </c>
      <c r="P536" s="1" t="s">
        <v>27</v>
      </c>
      <c r="Q536" s="1" t="s">
        <v>2988</v>
      </c>
      <c r="R536" s="1" t="b">
        <f>COUNTIF(  Papers!G:G, RAW_DATA!Q536 ) = 0</f>
        <v>0</v>
      </c>
      <c r="S536" s="1" t="b">
        <f t="shared" si="2"/>
        <v>0</v>
      </c>
    </row>
    <row r="537" spans="1:19" ht="15.75" customHeight="1">
      <c r="A537" s="1" t="s">
        <v>2989</v>
      </c>
      <c r="B537" s="1" t="s">
        <v>2990</v>
      </c>
      <c r="C537" s="1">
        <v>2021</v>
      </c>
      <c r="D537" s="1" t="s">
        <v>247</v>
      </c>
      <c r="J537" s="1">
        <v>117</v>
      </c>
      <c r="K537" s="1" t="s">
        <v>2991</v>
      </c>
      <c r="L537" s="1" t="s">
        <v>2992</v>
      </c>
      <c r="M537" s="1" t="s">
        <v>169</v>
      </c>
      <c r="N537" s="1" t="s">
        <v>25</v>
      </c>
      <c r="O537" s="1" t="s">
        <v>26</v>
      </c>
      <c r="P537" s="1" t="s">
        <v>27</v>
      </c>
      <c r="Q537" s="1" t="s">
        <v>2993</v>
      </c>
      <c r="R537" s="1" t="b">
        <f>COUNTIF(  Papers!G:G, RAW_DATA!Q537 ) = 0</f>
        <v>0</v>
      </c>
      <c r="S537" s="1" t="b">
        <f t="shared" si="2"/>
        <v>0</v>
      </c>
    </row>
    <row r="538" spans="1:19" ht="15.75" customHeight="1">
      <c r="A538" s="1" t="s">
        <v>2994</v>
      </c>
      <c r="B538" s="1" t="s">
        <v>2995</v>
      </c>
      <c r="C538" s="1">
        <v>2021</v>
      </c>
      <c r="D538" s="1" t="s">
        <v>2996</v>
      </c>
      <c r="E538" s="1">
        <v>193</v>
      </c>
      <c r="F538" s="1">
        <v>34</v>
      </c>
      <c r="H538" s="1" t="s">
        <v>2997</v>
      </c>
      <c r="I538" s="1" t="s">
        <v>2998</v>
      </c>
      <c r="J538" s="1">
        <v>110</v>
      </c>
      <c r="K538" s="1" t="s">
        <v>2999</v>
      </c>
      <c r="L538" s="1" t="s">
        <v>3000</v>
      </c>
      <c r="M538" s="1" t="s">
        <v>54</v>
      </c>
      <c r="N538" s="1" t="s">
        <v>25</v>
      </c>
      <c r="O538" s="1" t="s">
        <v>26</v>
      </c>
      <c r="P538" s="1" t="s">
        <v>27</v>
      </c>
      <c r="Q538" s="1" t="s">
        <v>3001</v>
      </c>
      <c r="R538" s="1" t="b">
        <f>COUNTIF(  Papers!G:G, RAW_DATA!Q538 ) = 0</f>
        <v>0</v>
      </c>
      <c r="S538" s="1" t="b">
        <f t="shared" si="2"/>
        <v>0</v>
      </c>
    </row>
    <row r="539" spans="1:19" ht="15.75" customHeight="1">
      <c r="A539" s="1" t="s">
        <v>3002</v>
      </c>
      <c r="B539" s="1" t="s">
        <v>3003</v>
      </c>
      <c r="C539" s="1">
        <v>2021</v>
      </c>
      <c r="D539" s="1" t="s">
        <v>436</v>
      </c>
      <c r="E539" s="1">
        <v>5</v>
      </c>
      <c r="F539" s="1" t="s">
        <v>1782</v>
      </c>
      <c r="G539" s="1">
        <v>408</v>
      </c>
      <c r="J539" s="1">
        <v>111</v>
      </c>
      <c r="K539" s="1" t="s">
        <v>3004</v>
      </c>
      <c r="L539" s="1" t="s">
        <v>3005</v>
      </c>
      <c r="M539" s="1" t="s">
        <v>54</v>
      </c>
      <c r="N539" s="1" t="s">
        <v>25</v>
      </c>
      <c r="O539" s="1" t="s">
        <v>120</v>
      </c>
      <c r="P539" s="1" t="s">
        <v>27</v>
      </c>
      <c r="Q539" s="1" t="s">
        <v>3006</v>
      </c>
      <c r="R539" s="1" t="b">
        <f>COUNTIF(  Papers!G:G, RAW_DATA!Q539 ) = 0</f>
        <v>0</v>
      </c>
      <c r="S539" s="1" t="b">
        <f t="shared" si="2"/>
        <v>0</v>
      </c>
    </row>
    <row r="540" spans="1:19" ht="15.75" customHeight="1">
      <c r="A540" s="1" t="s">
        <v>3007</v>
      </c>
      <c r="B540" s="1" t="s">
        <v>3008</v>
      </c>
      <c r="C540" s="1">
        <v>2021</v>
      </c>
      <c r="D540" s="1" t="s">
        <v>3009</v>
      </c>
      <c r="E540" s="1">
        <v>31</v>
      </c>
      <c r="F540" s="1">
        <v>39</v>
      </c>
      <c r="G540" s="1">
        <v>2009835</v>
      </c>
      <c r="J540" s="1">
        <v>110</v>
      </c>
      <c r="K540" s="1" t="s">
        <v>3010</v>
      </c>
      <c r="L540" s="1" t="s">
        <v>3011</v>
      </c>
      <c r="M540" s="1" t="s">
        <v>24</v>
      </c>
      <c r="N540" s="1" t="s">
        <v>25</v>
      </c>
      <c r="P540" s="1" t="s">
        <v>27</v>
      </c>
      <c r="Q540" s="1" t="s">
        <v>3012</v>
      </c>
      <c r="R540" s="1" t="b">
        <f>COUNTIF(  Papers!G:G, RAW_DATA!Q540 ) = 0</f>
        <v>0</v>
      </c>
      <c r="S540" s="1" t="b">
        <f t="shared" si="2"/>
        <v>0</v>
      </c>
    </row>
    <row r="541" spans="1:19" ht="15.75" customHeight="1">
      <c r="A541" s="1" t="s">
        <v>3013</v>
      </c>
      <c r="B541" s="1" t="s">
        <v>3014</v>
      </c>
      <c r="C541" s="1">
        <v>2021</v>
      </c>
      <c r="D541" s="1" t="s">
        <v>443</v>
      </c>
      <c r="H541" s="1">
        <v>402</v>
      </c>
      <c r="I541" s="1">
        <v>412</v>
      </c>
      <c r="J541" s="1">
        <v>123</v>
      </c>
      <c r="K541" s="1" t="s">
        <v>3015</v>
      </c>
      <c r="L541" s="1" t="s">
        <v>3016</v>
      </c>
      <c r="M541" s="1" t="s">
        <v>169</v>
      </c>
      <c r="N541" s="1" t="s">
        <v>25</v>
      </c>
      <c r="O541" s="1" t="s">
        <v>113</v>
      </c>
      <c r="P541" s="1" t="s">
        <v>27</v>
      </c>
      <c r="Q541" s="1" t="s">
        <v>3017</v>
      </c>
      <c r="R541" s="1" t="b">
        <f>COUNTIF(  Papers!G:G, RAW_DATA!Q541 ) = 0</f>
        <v>0</v>
      </c>
      <c r="S541" s="1" t="b">
        <f t="shared" si="2"/>
        <v>0</v>
      </c>
    </row>
    <row r="542" spans="1:19" ht="15.75" customHeight="1">
      <c r="A542" s="1" t="s">
        <v>3018</v>
      </c>
      <c r="B542" s="1" t="s">
        <v>3019</v>
      </c>
      <c r="C542" s="1">
        <v>2021</v>
      </c>
      <c r="D542" s="1" t="s">
        <v>3020</v>
      </c>
      <c r="E542" s="1">
        <v>121</v>
      </c>
      <c r="F542" s="1">
        <v>12</v>
      </c>
      <c r="H542" s="1">
        <v>2722</v>
      </c>
      <c r="I542" s="1">
        <v>2737</v>
      </c>
      <c r="J542" s="1">
        <v>115</v>
      </c>
      <c r="K542" s="1" t="s">
        <v>3021</v>
      </c>
      <c r="L542" s="1" t="s">
        <v>3022</v>
      </c>
      <c r="M542" s="1" t="s">
        <v>54</v>
      </c>
      <c r="N542" s="1" t="s">
        <v>25</v>
      </c>
      <c r="P542" s="1" t="s">
        <v>27</v>
      </c>
      <c r="Q542" s="1" t="s">
        <v>3023</v>
      </c>
      <c r="R542" s="1" t="b">
        <f>COUNTIF(  Papers!G:G, RAW_DATA!Q542 ) = 0</f>
        <v>0</v>
      </c>
      <c r="S542" s="1" t="b">
        <f t="shared" si="2"/>
        <v>0</v>
      </c>
    </row>
    <row r="543" spans="1:19" ht="15.75" customHeight="1">
      <c r="A543" s="1" t="s">
        <v>3024</v>
      </c>
      <c r="B543" s="1" t="s">
        <v>3025</v>
      </c>
      <c r="C543" s="1">
        <v>2023</v>
      </c>
      <c r="D543" s="1" t="s">
        <v>3026</v>
      </c>
      <c r="E543" s="1">
        <v>84</v>
      </c>
      <c r="G543" s="1">
        <v>102684</v>
      </c>
      <c r="J543" s="1">
        <v>130</v>
      </c>
      <c r="K543" s="1" t="s">
        <v>3027</v>
      </c>
      <c r="L543" s="1" t="s">
        <v>3028</v>
      </c>
      <c r="M543" s="1" t="s">
        <v>54</v>
      </c>
      <c r="N543" s="1" t="s">
        <v>25</v>
      </c>
      <c r="P543" s="1" t="s">
        <v>27</v>
      </c>
      <c r="Q543" s="1" t="s">
        <v>3029</v>
      </c>
      <c r="R543" s="1" t="b">
        <f>COUNTIF(  Papers!G:G, RAW_DATA!Q543 ) = 0</f>
        <v>0</v>
      </c>
      <c r="S543" s="1" t="b">
        <f t="shared" si="2"/>
        <v>0</v>
      </c>
    </row>
    <row r="544" spans="1:19" ht="15.75" customHeight="1">
      <c r="A544" s="1" t="s">
        <v>3030</v>
      </c>
      <c r="B544" s="1" t="s">
        <v>3031</v>
      </c>
      <c r="C544" s="1">
        <v>2018</v>
      </c>
      <c r="D544" s="1" t="s">
        <v>3032</v>
      </c>
      <c r="E544" s="1">
        <v>6</v>
      </c>
      <c r="F544" s="1">
        <v>3</v>
      </c>
      <c r="G544" s="1">
        <v>64</v>
      </c>
      <c r="J544" s="1">
        <v>131</v>
      </c>
      <c r="K544" s="1" t="s">
        <v>3033</v>
      </c>
      <c r="L544" s="1" t="s">
        <v>3034</v>
      </c>
      <c r="M544" s="1" t="s">
        <v>54</v>
      </c>
      <c r="N544" s="1" t="s">
        <v>25</v>
      </c>
      <c r="O544" s="1" t="s">
        <v>26</v>
      </c>
      <c r="P544" s="1" t="s">
        <v>27</v>
      </c>
      <c r="Q544" s="1" t="s">
        <v>3035</v>
      </c>
      <c r="R544" s="1" t="b">
        <f>COUNTIF(  Papers!G:G, RAW_DATA!Q544 ) = 0</f>
        <v>0</v>
      </c>
      <c r="S544" s="1" t="b">
        <f t="shared" si="2"/>
        <v>0</v>
      </c>
    </row>
    <row r="545" spans="1:19" ht="15.75" customHeight="1">
      <c r="A545" s="1" t="s">
        <v>3036</v>
      </c>
      <c r="B545" s="1" t="s">
        <v>3037</v>
      </c>
      <c r="C545" s="1">
        <v>2018</v>
      </c>
      <c r="D545" s="1" t="s">
        <v>630</v>
      </c>
      <c r="E545" s="1">
        <v>12</v>
      </c>
      <c r="F545" s="1">
        <v>1</v>
      </c>
      <c r="H545" s="1">
        <v>7</v>
      </c>
      <c r="I545" s="1">
        <v>24</v>
      </c>
      <c r="J545" s="1">
        <v>129</v>
      </c>
      <c r="K545" s="1" t="s">
        <v>3038</v>
      </c>
      <c r="L545" s="1" t="s">
        <v>3039</v>
      </c>
      <c r="M545" s="1" t="s">
        <v>54</v>
      </c>
      <c r="N545" s="1" t="s">
        <v>25</v>
      </c>
      <c r="P545" s="1" t="s">
        <v>27</v>
      </c>
      <c r="Q545" s="1" t="s">
        <v>3040</v>
      </c>
      <c r="R545" s="1" t="b">
        <f>COUNTIF(  Papers!G:G, RAW_DATA!Q545 ) = 0</f>
        <v>0</v>
      </c>
      <c r="S545" s="1" t="b">
        <f t="shared" si="2"/>
        <v>0</v>
      </c>
    </row>
    <row r="546" spans="1:19" ht="15.75" customHeight="1">
      <c r="A546" s="1" t="s">
        <v>3041</v>
      </c>
      <c r="B546" s="1" t="s">
        <v>3042</v>
      </c>
      <c r="C546" s="1">
        <v>2024</v>
      </c>
      <c r="D546" s="1" t="s">
        <v>84</v>
      </c>
      <c r="E546" s="1">
        <v>66</v>
      </c>
      <c r="F546" s="1">
        <v>1</v>
      </c>
      <c r="H546" s="1">
        <v>180</v>
      </c>
      <c r="I546" s="1">
        <v>208</v>
      </c>
      <c r="J546" s="1">
        <v>117</v>
      </c>
      <c r="K546" s="1" t="s">
        <v>3043</v>
      </c>
      <c r="L546" s="1" t="s">
        <v>3044</v>
      </c>
      <c r="M546" s="1" t="s">
        <v>54</v>
      </c>
      <c r="N546" s="1" t="s">
        <v>25</v>
      </c>
      <c r="O546" s="1" t="s">
        <v>100</v>
      </c>
      <c r="P546" s="1" t="s">
        <v>27</v>
      </c>
      <c r="Q546" s="1" t="s">
        <v>3045</v>
      </c>
      <c r="R546" s="1" t="b">
        <f>COUNTIF(  Papers!G:G, RAW_DATA!Q546 ) = 0</f>
        <v>0</v>
      </c>
      <c r="S546" s="1" t="b">
        <f t="shared" si="2"/>
        <v>0</v>
      </c>
    </row>
    <row r="547" spans="1:19" ht="15.75" customHeight="1">
      <c r="A547" s="1" t="s">
        <v>3046</v>
      </c>
      <c r="B547" s="1" t="s">
        <v>3047</v>
      </c>
      <c r="C547" s="1">
        <v>2019</v>
      </c>
      <c r="D547" s="1" t="s">
        <v>424</v>
      </c>
      <c r="E547" s="1">
        <v>30</v>
      </c>
      <c r="F547" s="1">
        <v>2</v>
      </c>
      <c r="H547" s="1">
        <v>67</v>
      </c>
      <c r="I547" s="1">
        <v>79</v>
      </c>
      <c r="J547" s="1">
        <v>128</v>
      </c>
      <c r="K547" s="1" t="s">
        <v>3048</v>
      </c>
      <c r="L547" s="1" t="s">
        <v>3049</v>
      </c>
      <c r="M547" s="1" t="s">
        <v>54</v>
      </c>
      <c r="N547" s="1" t="s">
        <v>25</v>
      </c>
      <c r="O547" s="1" t="s">
        <v>113</v>
      </c>
      <c r="P547" s="1" t="s">
        <v>27</v>
      </c>
      <c r="Q547" s="1" t="s">
        <v>3050</v>
      </c>
      <c r="R547" s="1" t="b">
        <f>COUNTIF(  Papers!G:G, RAW_DATA!Q547 ) = 0</f>
        <v>0</v>
      </c>
      <c r="S547" s="1" t="b">
        <f t="shared" si="2"/>
        <v>0</v>
      </c>
    </row>
    <row r="548" spans="1:19" ht="15.75" customHeight="1">
      <c r="A548" s="1" t="s">
        <v>3051</v>
      </c>
      <c r="B548" s="1" t="s">
        <v>3052</v>
      </c>
      <c r="C548" s="1">
        <v>2024</v>
      </c>
      <c r="D548" s="1" t="s">
        <v>3053</v>
      </c>
      <c r="E548" s="1">
        <v>16</v>
      </c>
      <c r="F548" s="1">
        <v>1</v>
      </c>
      <c r="H548" s="1">
        <v>64</v>
      </c>
      <c r="I548" s="1">
        <v>93</v>
      </c>
      <c r="J548" s="1">
        <v>131</v>
      </c>
      <c r="K548" s="1" t="s">
        <v>3054</v>
      </c>
      <c r="L548" s="1" t="s">
        <v>3055</v>
      </c>
      <c r="M548" s="1" t="s">
        <v>54</v>
      </c>
      <c r="N548" s="1" t="s">
        <v>25</v>
      </c>
      <c r="O548" s="1" t="s">
        <v>41</v>
      </c>
      <c r="P548" s="1" t="s">
        <v>27</v>
      </c>
      <c r="Q548" s="1" t="s">
        <v>3056</v>
      </c>
      <c r="R548" s="1" t="b">
        <f>COUNTIF(  Papers!G:G, RAW_DATA!Q548 ) = 0</f>
        <v>0</v>
      </c>
      <c r="S548" s="1" t="b">
        <f t="shared" si="2"/>
        <v>0</v>
      </c>
    </row>
    <row r="549" spans="1:19" ht="15.75" customHeight="1">
      <c r="A549" s="1" t="s">
        <v>3057</v>
      </c>
      <c r="B549" s="1" t="s">
        <v>3058</v>
      </c>
      <c r="C549" s="1">
        <v>2020</v>
      </c>
      <c r="D549" s="1" t="s">
        <v>247</v>
      </c>
      <c r="G549" s="1">
        <v>3376873</v>
      </c>
      <c r="J549" s="1">
        <v>124</v>
      </c>
      <c r="K549" s="1" t="s">
        <v>3059</v>
      </c>
      <c r="L549" s="1" t="s">
        <v>3060</v>
      </c>
      <c r="M549" s="1" t="s">
        <v>169</v>
      </c>
      <c r="N549" s="1" t="s">
        <v>25</v>
      </c>
      <c r="P549" s="1" t="s">
        <v>27</v>
      </c>
      <c r="Q549" s="1" t="s">
        <v>3061</v>
      </c>
      <c r="R549" s="1" t="b">
        <f>COUNTIF(  Papers!G:G, RAW_DATA!Q549 ) = 0</f>
        <v>0</v>
      </c>
      <c r="S549" s="1" t="b">
        <f t="shared" si="2"/>
        <v>0</v>
      </c>
    </row>
    <row r="550" spans="1:19" ht="15.75" customHeight="1">
      <c r="A550" s="1" t="s">
        <v>3062</v>
      </c>
      <c r="B550" s="1" t="s">
        <v>3063</v>
      </c>
      <c r="C550" s="1">
        <v>2018</v>
      </c>
      <c r="D550" s="1" t="s">
        <v>189</v>
      </c>
      <c r="E550" s="1">
        <v>89</v>
      </c>
      <c r="H550" s="1">
        <v>27</v>
      </c>
      <c r="I550" s="1">
        <v>39</v>
      </c>
      <c r="J550" s="1">
        <v>133</v>
      </c>
      <c r="K550" s="1" t="s">
        <v>3064</v>
      </c>
      <c r="L550" s="1" t="s">
        <v>3065</v>
      </c>
      <c r="M550" s="1" t="s">
        <v>54</v>
      </c>
      <c r="N550" s="1" t="s">
        <v>25</v>
      </c>
      <c r="P550" s="1" t="s">
        <v>27</v>
      </c>
      <c r="Q550" s="1" t="s">
        <v>3066</v>
      </c>
      <c r="R550" s="1" t="b">
        <f>COUNTIF(  Papers!G:G, RAW_DATA!Q550 ) = 0</f>
        <v>0</v>
      </c>
      <c r="S550" s="1" t="b">
        <f t="shared" si="2"/>
        <v>0</v>
      </c>
    </row>
    <row r="551" spans="1:19" ht="15.75" customHeight="1">
      <c r="A551" s="1" t="s">
        <v>3067</v>
      </c>
      <c r="B551" s="1" t="s">
        <v>3068</v>
      </c>
      <c r="C551" s="1">
        <v>2019</v>
      </c>
      <c r="D551" s="1" t="s">
        <v>77</v>
      </c>
      <c r="E551" s="1">
        <v>21</v>
      </c>
      <c r="F551" s="1">
        <v>10</v>
      </c>
      <c r="G551" s="1" t="s">
        <v>3069</v>
      </c>
      <c r="J551" s="1">
        <v>116</v>
      </c>
      <c r="K551" s="1" t="s">
        <v>3070</v>
      </c>
      <c r="L551" s="1" t="s">
        <v>3071</v>
      </c>
      <c r="M551" s="1" t="s">
        <v>54</v>
      </c>
      <c r="N551" s="1" t="s">
        <v>25</v>
      </c>
      <c r="O551" s="1" t="s">
        <v>26</v>
      </c>
      <c r="P551" s="1" t="s">
        <v>27</v>
      </c>
      <c r="Q551" s="1" t="s">
        <v>3072</v>
      </c>
      <c r="R551" s="1" t="b">
        <f>COUNTIF(  Papers!G:G, RAW_DATA!Q551 ) = 0</f>
        <v>0</v>
      </c>
      <c r="S551" s="1" t="b">
        <f t="shared" si="2"/>
        <v>0</v>
      </c>
    </row>
    <row r="552" spans="1:19" ht="15.75" customHeight="1">
      <c r="A552" s="1" t="s">
        <v>3073</v>
      </c>
      <c r="B552" s="1" t="s">
        <v>3074</v>
      </c>
      <c r="C552" s="1">
        <v>2021</v>
      </c>
      <c r="D552" s="1" t="s">
        <v>3075</v>
      </c>
      <c r="E552" s="1">
        <v>22</v>
      </c>
      <c r="H552" s="1">
        <v>1</v>
      </c>
      <c r="I552" s="1">
        <v>9</v>
      </c>
      <c r="J552" s="1">
        <v>114</v>
      </c>
      <c r="K552" s="1" t="s">
        <v>3076</v>
      </c>
      <c r="L552" s="1" t="s">
        <v>3077</v>
      </c>
      <c r="M552" s="1" t="s">
        <v>54</v>
      </c>
      <c r="N552" s="1" t="s">
        <v>25</v>
      </c>
      <c r="P552" s="1" t="s">
        <v>27</v>
      </c>
      <c r="Q552" s="1" t="s">
        <v>3078</v>
      </c>
      <c r="R552" s="1" t="b">
        <f>COUNTIF(  Papers!G:G, RAW_DATA!Q552 ) = 0</f>
        <v>0</v>
      </c>
      <c r="S552" s="1" t="b">
        <f t="shared" si="2"/>
        <v>0</v>
      </c>
    </row>
    <row r="553" spans="1:19" ht="15.75" customHeight="1">
      <c r="A553" s="1" t="s">
        <v>3079</v>
      </c>
      <c r="B553" s="1" t="s">
        <v>3080</v>
      </c>
      <c r="C553" s="1">
        <v>2019</v>
      </c>
      <c r="D553" s="1" t="s">
        <v>304</v>
      </c>
      <c r="E553" s="1">
        <v>67</v>
      </c>
      <c r="H553" s="1">
        <v>195</v>
      </c>
      <c r="I553" s="1">
        <v>204</v>
      </c>
      <c r="J553" s="1">
        <v>115</v>
      </c>
      <c r="K553" s="1" t="s">
        <v>3081</v>
      </c>
      <c r="L553" s="1" t="s">
        <v>3082</v>
      </c>
      <c r="M553" s="1" t="s">
        <v>54</v>
      </c>
      <c r="N553" s="1" t="s">
        <v>25</v>
      </c>
      <c r="P553" s="1" t="s">
        <v>27</v>
      </c>
      <c r="Q553" s="1" t="s">
        <v>3083</v>
      </c>
      <c r="R553" s="1" t="b">
        <f>COUNTIF(  Papers!G:G, RAW_DATA!Q553 ) = 0</f>
        <v>0</v>
      </c>
      <c r="S553" s="1" t="b">
        <f t="shared" si="2"/>
        <v>0</v>
      </c>
    </row>
    <row r="554" spans="1:19" ht="15.75" customHeight="1">
      <c r="A554" s="1" t="s">
        <v>3084</v>
      </c>
      <c r="B554" s="1" t="s">
        <v>3085</v>
      </c>
      <c r="C554" s="1">
        <v>2020</v>
      </c>
      <c r="D554" s="1" t="s">
        <v>788</v>
      </c>
      <c r="E554" s="1">
        <v>50</v>
      </c>
      <c r="F554" s="1">
        <v>3</v>
      </c>
      <c r="G554" s="1">
        <v>8982042</v>
      </c>
      <c r="H554" s="1">
        <v>215</v>
      </c>
      <c r="I554" s="1">
        <v>224</v>
      </c>
      <c r="J554" s="1">
        <v>101</v>
      </c>
      <c r="K554" s="1" t="s">
        <v>3086</v>
      </c>
      <c r="L554" s="1" t="s">
        <v>3087</v>
      </c>
      <c r="M554" s="1" t="s">
        <v>24</v>
      </c>
      <c r="N554" s="1" t="s">
        <v>25</v>
      </c>
      <c r="P554" s="1" t="s">
        <v>27</v>
      </c>
      <c r="Q554" s="1" t="s">
        <v>3088</v>
      </c>
      <c r="R554" s="1" t="b">
        <f>COUNTIF(  Papers!G:G, RAW_DATA!Q554 ) = 0</f>
        <v>0</v>
      </c>
      <c r="S554" s="1" t="b">
        <f t="shared" si="2"/>
        <v>0</v>
      </c>
    </row>
    <row r="555" spans="1:19" ht="15.75" customHeight="1">
      <c r="A555" s="1" t="s">
        <v>3089</v>
      </c>
      <c r="B555" s="1" t="s">
        <v>3090</v>
      </c>
      <c r="C555" s="1">
        <v>2019</v>
      </c>
      <c r="D555" s="1" t="s">
        <v>189</v>
      </c>
      <c r="E555" s="1">
        <v>101</v>
      </c>
      <c r="H555" s="1">
        <v>197</v>
      </c>
      <c r="I555" s="1">
        <v>209</v>
      </c>
      <c r="J555" s="1">
        <v>122</v>
      </c>
      <c r="K555" s="1" t="s">
        <v>3091</v>
      </c>
      <c r="L555" s="1" t="s">
        <v>3092</v>
      </c>
      <c r="M555" s="1" t="s">
        <v>54</v>
      </c>
      <c r="N555" s="1" t="s">
        <v>25</v>
      </c>
      <c r="P555" s="1" t="s">
        <v>27</v>
      </c>
      <c r="Q555" s="1" t="s">
        <v>3093</v>
      </c>
      <c r="R555" s="1" t="b">
        <f>COUNTIF(  Papers!G:G, RAW_DATA!Q555 ) = 0</f>
        <v>0</v>
      </c>
      <c r="S555" s="1" t="b">
        <f t="shared" si="2"/>
        <v>0</v>
      </c>
    </row>
    <row r="556" spans="1:19" ht="15.75" customHeight="1">
      <c r="A556" s="1" t="s">
        <v>3094</v>
      </c>
      <c r="B556" s="1" t="s">
        <v>3095</v>
      </c>
      <c r="C556" s="1">
        <v>2023</v>
      </c>
      <c r="D556" s="1" t="s">
        <v>2263</v>
      </c>
      <c r="E556" s="1">
        <v>75</v>
      </c>
      <c r="G556" s="1">
        <v>103459</v>
      </c>
      <c r="J556" s="1">
        <v>127</v>
      </c>
      <c r="K556" s="1" t="s">
        <v>3096</v>
      </c>
      <c r="L556" s="1" t="s">
        <v>3097</v>
      </c>
      <c r="M556" s="1" t="s">
        <v>54</v>
      </c>
      <c r="N556" s="1" t="s">
        <v>25</v>
      </c>
      <c r="O556" s="1" t="s">
        <v>100</v>
      </c>
      <c r="P556" s="1" t="s">
        <v>27</v>
      </c>
      <c r="Q556" s="1" t="s">
        <v>3098</v>
      </c>
      <c r="R556" s="1" t="b">
        <f>COUNTIF(  Papers!G:G, RAW_DATA!Q556 ) = 0</f>
        <v>0</v>
      </c>
      <c r="S556" s="1" t="b">
        <f t="shared" si="2"/>
        <v>0</v>
      </c>
    </row>
    <row r="557" spans="1:19" ht="15.75" customHeight="1">
      <c r="A557" s="1" t="s">
        <v>3099</v>
      </c>
      <c r="B557" s="1" t="s">
        <v>3100</v>
      </c>
      <c r="C557" s="1">
        <v>2020</v>
      </c>
      <c r="D557" s="1" t="s">
        <v>3101</v>
      </c>
      <c r="E557" s="1">
        <v>5</v>
      </c>
      <c r="F557" s="1">
        <v>2</v>
      </c>
      <c r="H557" s="1">
        <v>181</v>
      </c>
      <c r="I557" s="1">
        <v>205</v>
      </c>
      <c r="J557" s="1">
        <v>130</v>
      </c>
      <c r="K557" s="1" t="s">
        <v>3102</v>
      </c>
      <c r="L557" s="1" t="s">
        <v>3103</v>
      </c>
      <c r="M557" s="1" t="s">
        <v>54</v>
      </c>
      <c r="N557" s="1" t="s">
        <v>25</v>
      </c>
      <c r="O557" s="1" t="s">
        <v>113</v>
      </c>
      <c r="P557" s="1" t="s">
        <v>27</v>
      </c>
      <c r="Q557" s="1" t="s">
        <v>3104</v>
      </c>
      <c r="R557" s="1" t="b">
        <f>COUNTIF(  Papers!G:G, RAW_DATA!Q557 ) = 0</f>
        <v>0</v>
      </c>
      <c r="S557" s="1" t="b">
        <f t="shared" si="2"/>
        <v>0</v>
      </c>
    </row>
    <row r="558" spans="1:19" ht="15.75" customHeight="1">
      <c r="A558" s="1" t="s">
        <v>3105</v>
      </c>
      <c r="B558" s="1" t="s">
        <v>3106</v>
      </c>
      <c r="C558" s="1">
        <v>2023</v>
      </c>
      <c r="D558" s="1" t="s">
        <v>2114</v>
      </c>
      <c r="E558" s="1">
        <v>38</v>
      </c>
      <c r="F558" s="1">
        <v>4</v>
      </c>
      <c r="H558" s="1">
        <v>1523</v>
      </c>
      <c r="I558" s="1">
        <v>1542</v>
      </c>
      <c r="J558" s="1">
        <v>103</v>
      </c>
      <c r="K558" s="1" t="s">
        <v>3107</v>
      </c>
      <c r="L558" s="1" t="s">
        <v>3108</v>
      </c>
      <c r="M558" s="1" t="s">
        <v>54</v>
      </c>
      <c r="N558" s="1" t="s">
        <v>25</v>
      </c>
      <c r="O558" s="1" t="s">
        <v>55</v>
      </c>
      <c r="P558" s="1" t="s">
        <v>27</v>
      </c>
      <c r="Q558" s="1" t="s">
        <v>3109</v>
      </c>
      <c r="R558" s="1" t="b">
        <f>COUNTIF(  Papers!G:G, RAW_DATA!Q558 ) = 0</f>
        <v>0</v>
      </c>
      <c r="S558" s="1" t="b">
        <f t="shared" si="2"/>
        <v>0</v>
      </c>
    </row>
    <row r="559" spans="1:19" ht="15.75" customHeight="1">
      <c r="A559" s="1" t="s">
        <v>3110</v>
      </c>
      <c r="B559" s="1" t="s">
        <v>3111</v>
      </c>
      <c r="C559" s="1">
        <v>2016</v>
      </c>
      <c r="D559" s="1" t="s">
        <v>1698</v>
      </c>
      <c r="E559" s="1">
        <v>10</v>
      </c>
      <c r="F559" s="5" t="s">
        <v>3112</v>
      </c>
      <c r="G559" s="1">
        <v>216</v>
      </c>
      <c r="J559" s="1">
        <v>119</v>
      </c>
      <c r="K559" s="1" t="s">
        <v>3113</v>
      </c>
      <c r="L559" s="1" t="s">
        <v>3114</v>
      </c>
      <c r="M559" s="1" t="s">
        <v>54</v>
      </c>
      <c r="N559" s="1" t="s">
        <v>25</v>
      </c>
      <c r="O559" s="1" t="s">
        <v>26</v>
      </c>
      <c r="P559" s="1" t="s">
        <v>27</v>
      </c>
      <c r="Q559" s="1" t="s">
        <v>3115</v>
      </c>
      <c r="R559" s="1" t="b">
        <f>COUNTIF(  Papers!G:G, RAW_DATA!Q559 ) = 0</f>
        <v>0</v>
      </c>
      <c r="S559" s="1" t="b">
        <f t="shared" si="2"/>
        <v>0</v>
      </c>
    </row>
    <row r="560" spans="1:19" ht="15.75" customHeight="1">
      <c r="A560" s="1" t="s">
        <v>3116</v>
      </c>
      <c r="B560" s="1" t="s">
        <v>3117</v>
      </c>
      <c r="C560" s="1">
        <v>2019</v>
      </c>
      <c r="D560" s="1" t="s">
        <v>212</v>
      </c>
      <c r="E560" s="1">
        <v>35</v>
      </c>
      <c r="F560" s="1">
        <v>11</v>
      </c>
      <c r="H560" s="1">
        <v>932</v>
      </c>
      <c r="I560" s="1">
        <v>946</v>
      </c>
      <c r="J560" s="1">
        <v>123</v>
      </c>
      <c r="K560" s="1" t="s">
        <v>3118</v>
      </c>
      <c r="L560" s="1" t="s">
        <v>3119</v>
      </c>
      <c r="M560" s="1" t="s">
        <v>54</v>
      </c>
      <c r="N560" s="1" t="s">
        <v>25</v>
      </c>
      <c r="P560" s="1" t="s">
        <v>27</v>
      </c>
      <c r="Q560" s="1" t="s">
        <v>3120</v>
      </c>
      <c r="R560" s="1" t="b">
        <f>COUNTIF(  Papers!G:G, RAW_DATA!Q560 ) = 0</f>
        <v>0</v>
      </c>
      <c r="S560" s="1" t="b">
        <f t="shared" si="2"/>
        <v>0</v>
      </c>
    </row>
    <row r="561" spans="1:19" ht="15.75" customHeight="1">
      <c r="A561" s="1" t="s">
        <v>3121</v>
      </c>
      <c r="B561" s="1" t="s">
        <v>3122</v>
      </c>
      <c r="C561" s="1">
        <v>2022</v>
      </c>
      <c r="D561" s="1" t="s">
        <v>3123</v>
      </c>
      <c r="H561" s="1">
        <v>632</v>
      </c>
      <c r="I561" s="1">
        <v>658</v>
      </c>
      <c r="J561" s="1">
        <v>106</v>
      </c>
      <c r="K561" s="1" t="s">
        <v>3124</v>
      </c>
      <c r="L561" s="1" t="s">
        <v>3125</v>
      </c>
      <c r="M561" s="1" t="s">
        <v>169</v>
      </c>
      <c r="N561" s="1" t="s">
        <v>25</v>
      </c>
      <c r="O561" s="1" t="s">
        <v>55</v>
      </c>
      <c r="P561" s="1" t="s">
        <v>27</v>
      </c>
      <c r="Q561" s="1" t="s">
        <v>3126</v>
      </c>
      <c r="R561" s="1" t="b">
        <f>COUNTIF(  Papers!G:G, RAW_DATA!Q561 ) = 0</f>
        <v>0</v>
      </c>
      <c r="S561" s="1" t="b">
        <f t="shared" si="2"/>
        <v>0</v>
      </c>
    </row>
    <row r="562" spans="1:19" ht="15.75" customHeight="1">
      <c r="A562" s="1" t="s">
        <v>3127</v>
      </c>
      <c r="B562" s="1" t="s">
        <v>3128</v>
      </c>
      <c r="C562" s="1">
        <v>2023</v>
      </c>
      <c r="D562" s="1" t="s">
        <v>3129</v>
      </c>
      <c r="E562" s="1">
        <v>10</v>
      </c>
      <c r="F562" s="1">
        <v>4</v>
      </c>
      <c r="G562" s="1">
        <v>82</v>
      </c>
      <c r="J562" s="1">
        <v>111</v>
      </c>
      <c r="K562" s="1" t="s">
        <v>3130</v>
      </c>
      <c r="L562" s="1" t="s">
        <v>3131</v>
      </c>
      <c r="M562" s="1" t="s">
        <v>24</v>
      </c>
      <c r="N562" s="1" t="s">
        <v>25</v>
      </c>
      <c r="O562" s="1" t="s">
        <v>26</v>
      </c>
      <c r="P562" s="1" t="s">
        <v>27</v>
      </c>
      <c r="Q562" s="1" t="s">
        <v>3132</v>
      </c>
      <c r="R562" s="1" t="b">
        <f>COUNTIF(  Papers!G:G, RAW_DATA!Q562 ) = 0</f>
        <v>0</v>
      </c>
      <c r="S562" s="1" t="b">
        <f t="shared" si="2"/>
        <v>0</v>
      </c>
    </row>
    <row r="563" spans="1:19" ht="15.75" customHeight="1">
      <c r="A563" s="1" t="s">
        <v>3133</v>
      </c>
      <c r="B563" s="1" t="s">
        <v>3134</v>
      </c>
      <c r="C563" s="1">
        <v>2023</v>
      </c>
      <c r="D563" s="1" t="s">
        <v>397</v>
      </c>
      <c r="H563" s="1">
        <v>1139</v>
      </c>
      <c r="I563" s="1">
        <v>1150</v>
      </c>
      <c r="J563" s="1">
        <v>119</v>
      </c>
      <c r="K563" s="1" t="s">
        <v>3135</v>
      </c>
      <c r="L563" s="1" t="s">
        <v>3136</v>
      </c>
      <c r="M563" s="1" t="s">
        <v>169</v>
      </c>
      <c r="N563" s="1" t="s">
        <v>25</v>
      </c>
      <c r="O563" s="1" t="s">
        <v>41</v>
      </c>
      <c r="P563" s="1" t="s">
        <v>27</v>
      </c>
      <c r="Q563" s="1" t="s">
        <v>3137</v>
      </c>
      <c r="R563" s="1" t="b">
        <f>COUNTIF(  Papers!G:G, RAW_DATA!Q563 ) = 0</f>
        <v>0</v>
      </c>
      <c r="S563" s="1" t="b">
        <f t="shared" si="2"/>
        <v>0</v>
      </c>
    </row>
    <row r="564" spans="1:19" ht="15.75" customHeight="1">
      <c r="A564" s="1" t="s">
        <v>3138</v>
      </c>
      <c r="B564" s="1" t="s">
        <v>3139</v>
      </c>
      <c r="C564" s="1">
        <v>2022</v>
      </c>
      <c r="D564" s="1" t="s">
        <v>130</v>
      </c>
      <c r="E564" s="1">
        <v>144</v>
      </c>
      <c r="H564" s="1">
        <v>797</v>
      </c>
      <c r="I564" s="1">
        <v>804</v>
      </c>
      <c r="J564" s="1">
        <v>102</v>
      </c>
      <c r="K564" s="1" t="s">
        <v>3140</v>
      </c>
      <c r="L564" s="1" t="s">
        <v>3141</v>
      </c>
      <c r="M564" s="1" t="s">
        <v>54</v>
      </c>
      <c r="N564" s="1" t="s">
        <v>25</v>
      </c>
      <c r="P564" s="1" t="s">
        <v>27</v>
      </c>
      <c r="Q564" s="1" t="s">
        <v>3142</v>
      </c>
      <c r="R564" s="1" t="b">
        <f>COUNTIF(  Papers!G:G, RAW_DATA!Q564 ) = 0</f>
        <v>0</v>
      </c>
      <c r="S564" s="1" t="b">
        <f t="shared" si="2"/>
        <v>0</v>
      </c>
    </row>
    <row r="565" spans="1:19" ht="15.75" customHeight="1">
      <c r="A565" s="1" t="s">
        <v>3143</v>
      </c>
      <c r="B565" s="1" t="s">
        <v>3144</v>
      </c>
      <c r="C565" s="1">
        <v>2023</v>
      </c>
      <c r="D565" s="1" t="s">
        <v>189</v>
      </c>
      <c r="E565" s="1">
        <v>145</v>
      </c>
      <c r="G565" s="1">
        <v>107765</v>
      </c>
      <c r="J565" s="1">
        <v>118</v>
      </c>
      <c r="K565" s="1" t="s">
        <v>3145</v>
      </c>
      <c r="L565" s="1" t="s">
        <v>3146</v>
      </c>
      <c r="M565" s="1" t="s">
        <v>54</v>
      </c>
      <c r="N565" s="1" t="s">
        <v>25</v>
      </c>
      <c r="P565" s="1" t="s">
        <v>27</v>
      </c>
      <c r="Q565" s="1" t="s">
        <v>3147</v>
      </c>
      <c r="R565" s="1" t="b">
        <f>COUNTIF(  Papers!G:G, RAW_DATA!Q565 ) = 0</f>
        <v>0</v>
      </c>
      <c r="S565" s="1" t="b">
        <f t="shared" si="2"/>
        <v>0</v>
      </c>
    </row>
    <row r="566" spans="1:19" ht="15.75" customHeight="1">
      <c r="A566" s="1" t="s">
        <v>3148</v>
      </c>
      <c r="B566" s="1" t="s">
        <v>3149</v>
      </c>
      <c r="C566" s="1">
        <v>2024</v>
      </c>
      <c r="D566" s="1" t="s">
        <v>3150</v>
      </c>
      <c r="E566" s="1">
        <v>1</v>
      </c>
      <c r="H566" s="1">
        <v>67</v>
      </c>
      <c r="I566" s="1">
        <v>73</v>
      </c>
      <c r="J566" s="1">
        <v>108</v>
      </c>
      <c r="K566" s="1" t="s">
        <v>3151</v>
      </c>
      <c r="L566" s="1" t="s">
        <v>3152</v>
      </c>
      <c r="M566" s="1" t="s">
        <v>169</v>
      </c>
      <c r="N566" s="1" t="s">
        <v>25</v>
      </c>
      <c r="P566" s="1" t="s">
        <v>27</v>
      </c>
      <c r="Q566" s="1" t="s">
        <v>3153</v>
      </c>
      <c r="R566" s="1" t="b">
        <f>COUNTIF(  Papers!G:G, RAW_DATA!Q566 ) = 0</f>
        <v>0</v>
      </c>
      <c r="S566" s="1" t="b">
        <f t="shared" si="2"/>
        <v>0</v>
      </c>
    </row>
    <row r="567" spans="1:19" ht="15.75" customHeight="1">
      <c r="A567" s="1" t="s">
        <v>3154</v>
      </c>
      <c r="B567" s="1" t="s">
        <v>3155</v>
      </c>
      <c r="C567" s="1">
        <v>2024</v>
      </c>
      <c r="D567" s="1" t="s">
        <v>3156</v>
      </c>
      <c r="E567" s="1">
        <v>33</v>
      </c>
      <c r="F567" s="1">
        <v>3</v>
      </c>
      <c r="H567" s="1">
        <v>261</v>
      </c>
      <c r="I567" s="1">
        <v>287</v>
      </c>
      <c r="J567" s="1">
        <v>131</v>
      </c>
      <c r="K567" s="1" t="s">
        <v>3157</v>
      </c>
      <c r="L567" s="1" t="s">
        <v>3158</v>
      </c>
      <c r="M567" s="1" t="s">
        <v>54</v>
      </c>
      <c r="N567" s="1" t="s">
        <v>25</v>
      </c>
      <c r="P567" s="1" t="s">
        <v>27</v>
      </c>
      <c r="Q567" s="1" t="s">
        <v>3159</v>
      </c>
      <c r="R567" s="1" t="b">
        <f>COUNTIF(  Papers!G:G, RAW_DATA!Q567 ) = 0</f>
        <v>0</v>
      </c>
      <c r="S567" s="1" t="b">
        <f t="shared" si="2"/>
        <v>0</v>
      </c>
    </row>
    <row r="568" spans="1:19" ht="15.75" customHeight="1">
      <c r="A568" s="1" t="s">
        <v>3160</v>
      </c>
      <c r="B568" s="1" t="s">
        <v>3161</v>
      </c>
      <c r="C568" s="1">
        <v>2022</v>
      </c>
      <c r="D568" s="1" t="s">
        <v>455</v>
      </c>
      <c r="E568" s="1">
        <v>39</v>
      </c>
      <c r="F568" s="1">
        <v>11</v>
      </c>
      <c r="H568" s="1">
        <v>2013</v>
      </c>
      <c r="I568" s="1">
        <v>2038</v>
      </c>
      <c r="J568" s="1">
        <v>106</v>
      </c>
      <c r="K568" s="1" t="s">
        <v>3162</v>
      </c>
      <c r="L568" s="1" t="s">
        <v>3163</v>
      </c>
      <c r="M568" s="1" t="s">
        <v>54</v>
      </c>
      <c r="N568" s="1" t="s">
        <v>25</v>
      </c>
      <c r="O568" s="1" t="s">
        <v>113</v>
      </c>
      <c r="P568" s="1" t="s">
        <v>27</v>
      </c>
      <c r="Q568" s="1" t="s">
        <v>3164</v>
      </c>
      <c r="R568" s="1" t="b">
        <f>COUNTIF(  Papers!G:G, RAW_DATA!Q568 ) = 0</f>
        <v>0</v>
      </c>
      <c r="S568" s="1" t="b">
        <f t="shared" si="2"/>
        <v>0</v>
      </c>
    </row>
    <row r="569" spans="1:19" ht="15.75" customHeight="1">
      <c r="A569" s="1" t="s">
        <v>3165</v>
      </c>
      <c r="B569" s="1" t="s">
        <v>3166</v>
      </c>
      <c r="C569" s="1">
        <v>2022</v>
      </c>
      <c r="D569" s="1" t="s">
        <v>3167</v>
      </c>
      <c r="E569" s="1">
        <v>13</v>
      </c>
      <c r="F569" s="1">
        <v>13</v>
      </c>
      <c r="H569" s="1">
        <v>3697</v>
      </c>
      <c r="I569" s="1">
        <v>3705</v>
      </c>
      <c r="J569" s="1">
        <v>110</v>
      </c>
      <c r="K569" s="1" t="s">
        <v>3168</v>
      </c>
      <c r="L569" s="1" t="s">
        <v>3169</v>
      </c>
      <c r="M569" s="1" t="s">
        <v>54</v>
      </c>
      <c r="N569" s="1" t="s">
        <v>25</v>
      </c>
      <c r="O569" s="1" t="s">
        <v>26</v>
      </c>
      <c r="P569" s="1" t="s">
        <v>27</v>
      </c>
      <c r="Q569" s="1" t="s">
        <v>3170</v>
      </c>
      <c r="R569" s="1" t="b">
        <f>COUNTIF(  Papers!G:G, RAW_DATA!Q569 ) = 0</f>
        <v>0</v>
      </c>
      <c r="S569" s="1" t="b">
        <f t="shared" si="2"/>
        <v>0</v>
      </c>
    </row>
    <row r="570" spans="1:19" ht="15.75" customHeight="1">
      <c r="A570" s="1" t="s">
        <v>3171</v>
      </c>
      <c r="B570" s="1" t="s">
        <v>3172</v>
      </c>
      <c r="C570" s="1">
        <v>2023</v>
      </c>
      <c r="D570" s="1" t="s">
        <v>206</v>
      </c>
      <c r="E570" s="1">
        <v>189</v>
      </c>
      <c r="G570" s="1">
        <v>122319</v>
      </c>
      <c r="J570" s="1">
        <v>128</v>
      </c>
      <c r="K570" s="1" t="s">
        <v>3173</v>
      </c>
      <c r="L570" s="1" t="s">
        <v>3174</v>
      </c>
      <c r="M570" s="1" t="s">
        <v>54</v>
      </c>
      <c r="N570" s="1" t="s">
        <v>25</v>
      </c>
      <c r="O570" s="1" t="s">
        <v>100</v>
      </c>
      <c r="P570" s="1" t="s">
        <v>27</v>
      </c>
      <c r="Q570" s="1" t="s">
        <v>3175</v>
      </c>
      <c r="R570" s="1" t="b">
        <f>COUNTIF(  Papers!G:G, RAW_DATA!Q570 ) = 0</f>
        <v>0</v>
      </c>
      <c r="S570" s="1" t="b">
        <f t="shared" si="2"/>
        <v>0</v>
      </c>
    </row>
    <row r="571" spans="1:19" ht="15.75" customHeight="1">
      <c r="A571" s="1" t="s">
        <v>3176</v>
      </c>
      <c r="B571" s="1" t="s">
        <v>3177</v>
      </c>
      <c r="C571" s="1">
        <v>2021</v>
      </c>
      <c r="D571" s="1" t="s">
        <v>206</v>
      </c>
      <c r="E571" s="1">
        <v>171</v>
      </c>
      <c r="G571" s="1">
        <v>120970</v>
      </c>
      <c r="J571" s="1">
        <v>122</v>
      </c>
      <c r="K571" s="1" t="s">
        <v>3178</v>
      </c>
      <c r="L571" s="1" t="s">
        <v>3179</v>
      </c>
      <c r="M571" s="1" t="s">
        <v>54</v>
      </c>
      <c r="N571" s="1" t="s">
        <v>25</v>
      </c>
      <c r="P571" s="1" t="s">
        <v>27</v>
      </c>
      <c r="Q571" s="1" t="s">
        <v>3180</v>
      </c>
      <c r="R571" s="1" t="b">
        <f>COUNTIF(  Papers!G:G, RAW_DATA!Q571 ) = 0</f>
        <v>0</v>
      </c>
      <c r="S571" s="1" t="b">
        <f t="shared" si="2"/>
        <v>0</v>
      </c>
    </row>
    <row r="572" spans="1:19" ht="15.75" customHeight="1">
      <c r="A572" s="1" t="s">
        <v>3181</v>
      </c>
      <c r="B572" s="1" t="s">
        <v>3182</v>
      </c>
      <c r="C572" s="1">
        <v>2020</v>
      </c>
      <c r="D572" s="1" t="s">
        <v>799</v>
      </c>
      <c r="E572" s="1">
        <v>148</v>
      </c>
      <c r="G572" s="1">
        <v>105804</v>
      </c>
      <c r="J572" s="1">
        <v>100</v>
      </c>
      <c r="K572" s="1" t="s">
        <v>3183</v>
      </c>
      <c r="L572" s="1" t="s">
        <v>3184</v>
      </c>
      <c r="M572" s="1" t="s">
        <v>54</v>
      </c>
      <c r="N572" s="1" t="s">
        <v>25</v>
      </c>
      <c r="P572" s="1" t="s">
        <v>27</v>
      </c>
      <c r="Q572" s="1" t="s">
        <v>3185</v>
      </c>
      <c r="R572" s="1" t="b">
        <f>COUNTIF(  Papers!G:G, RAW_DATA!Q572 ) = 0</f>
        <v>0</v>
      </c>
      <c r="S572" s="1" t="b">
        <f t="shared" si="2"/>
        <v>0</v>
      </c>
    </row>
    <row r="573" spans="1:19" ht="15.75" customHeight="1">
      <c r="A573" s="1" t="s">
        <v>3186</v>
      </c>
      <c r="B573" s="1" t="s">
        <v>3187</v>
      </c>
      <c r="C573" s="1">
        <v>2015</v>
      </c>
      <c r="D573" s="1" t="s">
        <v>165</v>
      </c>
      <c r="E573" s="1" t="s">
        <v>3188</v>
      </c>
      <c r="H573" s="1">
        <v>141</v>
      </c>
      <c r="I573" s="1">
        <v>148</v>
      </c>
      <c r="J573" s="1">
        <v>544</v>
      </c>
      <c r="K573" s="1" t="s">
        <v>3189</v>
      </c>
      <c r="L573" s="1" t="s">
        <v>3190</v>
      </c>
      <c r="M573" s="1" t="s">
        <v>169</v>
      </c>
      <c r="N573" s="1" t="s">
        <v>25</v>
      </c>
      <c r="O573" s="1" t="s">
        <v>41</v>
      </c>
      <c r="P573" s="1" t="s">
        <v>27</v>
      </c>
      <c r="Q573" s="1" t="s">
        <v>3191</v>
      </c>
      <c r="R573" s="1" t="b">
        <f>COUNTIF(  Papers!G:G, RAW_DATA!Q573 ) = 0</f>
        <v>0</v>
      </c>
      <c r="S573" s="1" t="b">
        <f t="shared" si="2"/>
        <v>0</v>
      </c>
    </row>
    <row r="574" spans="1:19" ht="15.75" customHeight="1">
      <c r="A574" s="1" t="s">
        <v>3192</v>
      </c>
      <c r="B574" s="1" t="s">
        <v>3193</v>
      </c>
      <c r="C574" s="1">
        <v>2015</v>
      </c>
      <c r="D574" s="1" t="s">
        <v>212</v>
      </c>
      <c r="E574" s="1">
        <v>31</v>
      </c>
      <c r="F574" s="1">
        <v>10</v>
      </c>
      <c r="H574" s="1">
        <v>692</v>
      </c>
      <c r="I574" s="1">
        <v>702</v>
      </c>
      <c r="J574" s="1">
        <v>1044</v>
      </c>
      <c r="K574" s="1" t="s">
        <v>3194</v>
      </c>
      <c r="L574" s="1" t="s">
        <v>3195</v>
      </c>
      <c r="M574" s="1" t="s">
        <v>54</v>
      </c>
      <c r="N574" s="1" t="s">
        <v>25</v>
      </c>
      <c r="P574" s="1" t="s">
        <v>27</v>
      </c>
      <c r="Q574" s="1" t="s">
        <v>3196</v>
      </c>
      <c r="R574" s="1" t="b">
        <f>COUNTIF(  Papers!G:G, RAW_DATA!Q574 ) = 0</f>
        <v>0</v>
      </c>
      <c r="S574" s="1" t="b">
        <f t="shared" si="2"/>
        <v>0</v>
      </c>
    </row>
    <row r="575" spans="1:19" ht="15.75" customHeight="1">
      <c r="A575" s="1" t="s">
        <v>3197</v>
      </c>
      <c r="B575" s="1" t="s">
        <v>3198</v>
      </c>
      <c r="C575" s="1">
        <v>2016</v>
      </c>
      <c r="D575" s="1" t="s">
        <v>3199</v>
      </c>
      <c r="H575" s="1">
        <v>191</v>
      </c>
      <c r="I575" s="1">
        <v>218</v>
      </c>
      <c r="J575" s="1">
        <v>258</v>
      </c>
      <c r="K575" s="1" t="s">
        <v>3200</v>
      </c>
      <c r="L575" s="1" t="s">
        <v>3201</v>
      </c>
      <c r="M575" s="1" t="s">
        <v>3202</v>
      </c>
      <c r="N575" s="1" t="s">
        <v>25</v>
      </c>
      <c r="P575" s="1" t="s">
        <v>27</v>
      </c>
      <c r="Q575" s="1" t="s">
        <v>3203</v>
      </c>
      <c r="R575" s="1" t="b">
        <f>COUNTIF(  Papers!G:G, RAW_DATA!Q575 ) = 0</f>
        <v>0</v>
      </c>
      <c r="S575" s="1" t="b">
        <f t="shared" si="2"/>
        <v>0</v>
      </c>
    </row>
    <row r="576" spans="1:19" ht="15.75" customHeight="1">
      <c r="A576" s="1" t="s">
        <v>628</v>
      </c>
      <c r="B576" s="1" t="s">
        <v>3204</v>
      </c>
      <c r="C576" s="1">
        <v>2015</v>
      </c>
      <c r="D576" s="1" t="s">
        <v>630</v>
      </c>
      <c r="E576" s="1">
        <v>9</v>
      </c>
      <c r="F576" s="1">
        <v>1</v>
      </c>
      <c r="H576" s="1">
        <v>4</v>
      </c>
      <c r="I576" s="1">
        <v>32</v>
      </c>
      <c r="J576" s="1">
        <v>495</v>
      </c>
      <c r="K576" s="1" t="s">
        <v>3205</v>
      </c>
      <c r="L576" s="1" t="s">
        <v>3206</v>
      </c>
      <c r="M576" s="1" t="s">
        <v>54</v>
      </c>
      <c r="N576" s="1" t="s">
        <v>25</v>
      </c>
      <c r="P576" s="1" t="s">
        <v>27</v>
      </c>
      <c r="Q576" s="1" t="s">
        <v>3207</v>
      </c>
      <c r="R576" s="1" t="b">
        <f>COUNTIF(  Papers!G:G, RAW_DATA!Q576 ) = 0</f>
        <v>0</v>
      </c>
      <c r="S576" s="1" t="b">
        <f t="shared" si="2"/>
        <v>0</v>
      </c>
    </row>
    <row r="577" spans="1:19" ht="15.75" customHeight="1">
      <c r="A577" s="1" t="s">
        <v>3208</v>
      </c>
      <c r="B577" s="1" t="s">
        <v>3209</v>
      </c>
      <c r="C577" s="1">
        <v>2015</v>
      </c>
      <c r="D577" s="1" t="s">
        <v>443</v>
      </c>
      <c r="E577" s="1" t="s">
        <v>3210</v>
      </c>
      <c r="H577" s="1">
        <v>126</v>
      </c>
      <c r="I577" s="1">
        <v>137</v>
      </c>
      <c r="J577" s="1">
        <v>484</v>
      </c>
      <c r="K577" s="1" t="s">
        <v>3211</v>
      </c>
      <c r="L577" s="1" t="s">
        <v>3212</v>
      </c>
      <c r="M577" s="1" t="s">
        <v>169</v>
      </c>
      <c r="N577" s="1" t="s">
        <v>25</v>
      </c>
      <c r="P577" s="1" t="s">
        <v>27</v>
      </c>
      <c r="Q577" s="1" t="s">
        <v>3213</v>
      </c>
      <c r="R577" s="1" t="b">
        <f>COUNTIF(  Papers!G:G, RAW_DATA!Q577 ) = 0</f>
        <v>0</v>
      </c>
      <c r="S577" s="1" t="b">
        <f t="shared" si="2"/>
        <v>0</v>
      </c>
    </row>
    <row r="578" spans="1:19" ht="15.75" customHeight="1">
      <c r="A578" s="1" t="s">
        <v>3214</v>
      </c>
      <c r="B578" s="1" t="s">
        <v>3215</v>
      </c>
      <c r="C578" s="1">
        <v>2018</v>
      </c>
      <c r="D578" s="1" t="s">
        <v>3216</v>
      </c>
      <c r="E578" s="1">
        <v>117</v>
      </c>
      <c r="H578" s="1">
        <v>135</v>
      </c>
      <c r="I578" s="1">
        <v>159</v>
      </c>
      <c r="J578" s="1">
        <v>271</v>
      </c>
      <c r="K578" s="1" t="s">
        <v>3217</v>
      </c>
      <c r="L578" s="1" t="s">
        <v>3218</v>
      </c>
      <c r="M578" s="1" t="s">
        <v>3202</v>
      </c>
      <c r="N578" s="1" t="s">
        <v>25</v>
      </c>
      <c r="O578" s="1" t="s">
        <v>55</v>
      </c>
      <c r="P578" s="1" t="s">
        <v>27</v>
      </c>
      <c r="Q578" s="1" t="s">
        <v>3219</v>
      </c>
      <c r="R578" s="1" t="b">
        <f>COUNTIF(  Papers!G:G, RAW_DATA!Q578 ) = 0</f>
        <v>0</v>
      </c>
      <c r="S578" s="1" t="b">
        <f t="shared" si="2"/>
        <v>0</v>
      </c>
    </row>
    <row r="579" spans="1:19" ht="15.75" customHeight="1">
      <c r="A579" s="1" t="s">
        <v>3220</v>
      </c>
      <c r="B579" s="1" t="s">
        <v>3221</v>
      </c>
      <c r="C579" s="1">
        <v>2020</v>
      </c>
      <c r="D579" s="1" t="s">
        <v>3222</v>
      </c>
      <c r="H579" s="1">
        <v>3</v>
      </c>
      <c r="I579" s="1">
        <v>25</v>
      </c>
      <c r="J579" s="1">
        <v>235</v>
      </c>
      <c r="K579" s="1" t="s">
        <v>3223</v>
      </c>
      <c r="L579" s="1" t="s">
        <v>3224</v>
      </c>
      <c r="M579" s="1" t="s">
        <v>3202</v>
      </c>
      <c r="N579" s="1" t="s">
        <v>25</v>
      </c>
      <c r="P579" s="1" t="s">
        <v>27</v>
      </c>
      <c r="Q579" s="1" t="s">
        <v>3225</v>
      </c>
      <c r="R579" s="1" t="b">
        <f>COUNTIF(  Papers!G:G, RAW_DATA!Q579 ) = 0</f>
        <v>0</v>
      </c>
      <c r="S579" s="1" t="b">
        <f t="shared" si="2"/>
        <v>0</v>
      </c>
    </row>
    <row r="580" spans="1:19" ht="15.75" customHeight="1">
      <c r="A580" s="1" t="s">
        <v>3226</v>
      </c>
      <c r="B580" s="1" t="s">
        <v>3227</v>
      </c>
      <c r="C580" s="1">
        <v>2015</v>
      </c>
      <c r="D580" s="1" t="s">
        <v>3228</v>
      </c>
      <c r="E580" s="1">
        <v>3</v>
      </c>
      <c r="H580" s="1">
        <v>3025</v>
      </c>
      <c r="I580" s="1">
        <v>3032</v>
      </c>
      <c r="J580" s="1">
        <v>308</v>
      </c>
      <c r="K580" s="1" t="s">
        <v>3229</v>
      </c>
      <c r="L580" s="1" t="s">
        <v>3230</v>
      </c>
      <c r="M580" s="1" t="s">
        <v>169</v>
      </c>
      <c r="N580" s="1" t="s">
        <v>25</v>
      </c>
      <c r="O580" s="1" t="s">
        <v>26</v>
      </c>
      <c r="P580" s="1" t="s">
        <v>27</v>
      </c>
      <c r="Q580" s="1" t="s">
        <v>3231</v>
      </c>
      <c r="R580" s="1" t="b">
        <f>COUNTIF(  Papers!G:G, RAW_DATA!Q580 ) = 0</f>
        <v>0</v>
      </c>
      <c r="S580" s="1" t="b">
        <f t="shared" si="2"/>
        <v>0</v>
      </c>
    </row>
    <row r="581" spans="1:19" ht="15.75" customHeight="1">
      <c r="A581" s="1" t="s">
        <v>3232</v>
      </c>
      <c r="B581" s="1" t="s">
        <v>3233</v>
      </c>
      <c r="C581" s="1">
        <v>2019</v>
      </c>
      <c r="D581" s="1" t="s">
        <v>3234</v>
      </c>
      <c r="E581" s="1">
        <v>823</v>
      </c>
      <c r="H581" s="1">
        <v>13</v>
      </c>
      <c r="I581" s="1">
        <v>30</v>
      </c>
      <c r="J581" s="1">
        <v>226</v>
      </c>
      <c r="K581" s="1" t="s">
        <v>3235</v>
      </c>
      <c r="L581" s="1" t="s">
        <v>3236</v>
      </c>
      <c r="M581" s="1" t="s">
        <v>169</v>
      </c>
      <c r="N581" s="1" t="s">
        <v>25</v>
      </c>
      <c r="O581" s="1" t="s">
        <v>113</v>
      </c>
      <c r="P581" s="1" t="s">
        <v>27</v>
      </c>
      <c r="Q581" s="1" t="s">
        <v>3237</v>
      </c>
      <c r="R581" s="1" t="b">
        <f>COUNTIF(  Papers!G:G, RAW_DATA!Q581 ) = 0</f>
        <v>0</v>
      </c>
      <c r="S581" s="1" t="b">
        <f t="shared" si="2"/>
        <v>0</v>
      </c>
    </row>
    <row r="582" spans="1:19" ht="15.75" customHeight="1">
      <c r="A582" s="1" t="s">
        <v>3238</v>
      </c>
      <c r="B582" s="1" t="s">
        <v>3239</v>
      </c>
      <c r="C582" s="1">
        <v>2015</v>
      </c>
      <c r="D582" s="1" t="s">
        <v>3240</v>
      </c>
      <c r="G582" s="1">
        <v>7349687</v>
      </c>
      <c r="H582" s="1">
        <v>160</v>
      </c>
      <c r="I582" s="1">
        <v>169</v>
      </c>
      <c r="J582" s="1">
        <v>377</v>
      </c>
      <c r="K582" s="1" t="s">
        <v>3241</v>
      </c>
      <c r="L582" s="1" t="s">
        <v>3242</v>
      </c>
      <c r="M582" s="1" t="s">
        <v>169</v>
      </c>
      <c r="N582" s="1" t="s">
        <v>25</v>
      </c>
      <c r="P582" s="1" t="s">
        <v>27</v>
      </c>
      <c r="Q582" s="1" t="s">
        <v>3243</v>
      </c>
      <c r="R582" s="1" t="b">
        <f>COUNTIF(  Papers!G:G, RAW_DATA!Q582 ) = 0</f>
        <v>0</v>
      </c>
      <c r="S582" s="1" t="b">
        <f t="shared" si="2"/>
        <v>0</v>
      </c>
    </row>
    <row r="583" spans="1:19" ht="15.75" customHeight="1">
      <c r="A583" s="1" t="s">
        <v>3244</v>
      </c>
      <c r="B583" s="1" t="s">
        <v>3245</v>
      </c>
      <c r="C583" s="1">
        <v>2015</v>
      </c>
      <c r="D583" s="1" t="s">
        <v>84</v>
      </c>
      <c r="E583" s="1">
        <v>57</v>
      </c>
      <c r="F583" s="1">
        <v>3</v>
      </c>
      <c r="H583" s="1">
        <v>407</v>
      </c>
      <c r="I583" s="1">
        <v>434</v>
      </c>
      <c r="J583" s="1">
        <v>2129</v>
      </c>
      <c r="K583" s="1" t="s">
        <v>3246</v>
      </c>
      <c r="L583" s="1" t="s">
        <v>3247</v>
      </c>
      <c r="M583" s="1" t="s">
        <v>54</v>
      </c>
      <c r="N583" s="1" t="s">
        <v>25</v>
      </c>
      <c r="P583" s="1" t="s">
        <v>27</v>
      </c>
      <c r="Q583" s="1" t="s">
        <v>3248</v>
      </c>
      <c r="R583" s="1" t="b">
        <f>COUNTIF(  Papers!G:G, RAW_DATA!Q583 ) = 0</f>
        <v>0</v>
      </c>
      <c r="S583" s="1" t="b">
        <f t="shared" si="2"/>
        <v>0</v>
      </c>
    </row>
    <row r="584" spans="1:19" ht="15.75" customHeight="1">
      <c r="A584" s="1" t="s">
        <v>3249</v>
      </c>
      <c r="B584" s="1" t="s">
        <v>3250</v>
      </c>
      <c r="C584" s="1">
        <v>2015</v>
      </c>
      <c r="D584" s="1" t="s">
        <v>298</v>
      </c>
      <c r="E584" s="1">
        <v>48</v>
      </c>
      <c r="F584" s="1">
        <v>2</v>
      </c>
      <c r="G584" s="1">
        <v>28</v>
      </c>
      <c r="J584" s="1">
        <v>320</v>
      </c>
      <c r="K584" s="1" t="s">
        <v>3251</v>
      </c>
      <c r="L584" s="1" t="s">
        <v>3252</v>
      </c>
      <c r="M584" s="1" t="s">
        <v>24</v>
      </c>
      <c r="N584" s="1" t="s">
        <v>25</v>
      </c>
      <c r="O584" s="1" t="s">
        <v>324</v>
      </c>
      <c r="P584" s="1" t="s">
        <v>27</v>
      </c>
      <c r="Q584" s="1" t="s">
        <v>3253</v>
      </c>
      <c r="R584" s="1" t="b">
        <f>COUNTIF(  Papers!G:G, RAW_DATA!Q584 ) = 0</f>
        <v>0</v>
      </c>
      <c r="S584" s="1" t="b">
        <f t="shared" si="2"/>
        <v>0</v>
      </c>
    </row>
    <row r="585" spans="1:19" ht="15.75" customHeight="1">
      <c r="A585" s="1" t="s">
        <v>3254</v>
      </c>
      <c r="B585" s="1" t="s">
        <v>3255</v>
      </c>
      <c r="C585" s="1">
        <v>2015</v>
      </c>
      <c r="D585" s="1" t="s">
        <v>84</v>
      </c>
      <c r="E585" s="1">
        <v>57</v>
      </c>
      <c r="F585" s="1">
        <v>1</v>
      </c>
      <c r="H585" s="1">
        <v>125</v>
      </c>
      <c r="I585" s="1">
        <v>143</v>
      </c>
      <c r="J585" s="1">
        <v>231</v>
      </c>
      <c r="K585" s="1" t="s">
        <v>3256</v>
      </c>
      <c r="L585" s="1" t="s">
        <v>3257</v>
      </c>
      <c r="M585" s="1" t="s">
        <v>54</v>
      </c>
      <c r="N585" s="1" t="s">
        <v>25</v>
      </c>
      <c r="O585" s="1" t="s">
        <v>113</v>
      </c>
      <c r="P585" s="1" t="s">
        <v>27</v>
      </c>
      <c r="Q585" s="1" t="s">
        <v>3258</v>
      </c>
      <c r="R585" s="1" t="b">
        <f>COUNTIF(  Papers!G:G, RAW_DATA!Q585 ) = 0</f>
        <v>0</v>
      </c>
      <c r="S585" s="1" t="b">
        <f t="shared" si="2"/>
        <v>0</v>
      </c>
    </row>
    <row r="586" spans="1:19" ht="15.75" customHeight="1">
      <c r="A586" s="1" t="s">
        <v>3259</v>
      </c>
      <c r="B586" s="1" t="s">
        <v>3260</v>
      </c>
      <c r="C586" s="1">
        <v>2015</v>
      </c>
      <c r="D586" s="1" t="s">
        <v>3261</v>
      </c>
      <c r="E586" s="1">
        <v>16</v>
      </c>
      <c r="F586" s="1">
        <v>10</v>
      </c>
      <c r="H586" s="1">
        <v>880</v>
      </c>
      <c r="I586" s="1">
        <v>918</v>
      </c>
      <c r="J586" s="1">
        <v>515</v>
      </c>
      <c r="K586" s="1" t="s">
        <v>3262</v>
      </c>
      <c r="L586" s="1" t="s">
        <v>3263</v>
      </c>
      <c r="M586" s="1" t="s">
        <v>54</v>
      </c>
      <c r="N586" s="1" t="s">
        <v>25</v>
      </c>
      <c r="O586" s="1" t="s">
        <v>324</v>
      </c>
      <c r="P586" s="1" t="s">
        <v>27</v>
      </c>
      <c r="Q586" s="1" t="s">
        <v>3264</v>
      </c>
      <c r="R586" s="1" t="b">
        <f>COUNTIF(  Papers!G:G, RAW_DATA!Q586 ) = 0</f>
        <v>0</v>
      </c>
      <c r="S586" s="1" t="b">
        <f t="shared" si="2"/>
        <v>0</v>
      </c>
    </row>
    <row r="587" spans="1:19" ht="15.75" customHeight="1">
      <c r="A587" s="1" t="s">
        <v>3265</v>
      </c>
      <c r="B587" s="1" t="s">
        <v>3266</v>
      </c>
      <c r="C587" s="1">
        <v>2019</v>
      </c>
      <c r="D587" s="1" t="s">
        <v>3234</v>
      </c>
      <c r="E587" s="1">
        <v>998</v>
      </c>
      <c r="H587" s="1">
        <v>1269</v>
      </c>
      <c r="I587" s="1">
        <v>1292</v>
      </c>
      <c r="J587" s="1">
        <v>148</v>
      </c>
      <c r="K587" s="1" t="s">
        <v>3267</v>
      </c>
      <c r="L587" s="1" t="s">
        <v>3268</v>
      </c>
      <c r="M587" s="1" t="s">
        <v>169</v>
      </c>
      <c r="N587" s="1" t="s">
        <v>25</v>
      </c>
      <c r="P587" s="1" t="s">
        <v>27</v>
      </c>
      <c r="Q587" s="1" t="s">
        <v>3269</v>
      </c>
      <c r="R587" s="1" t="b">
        <f>COUNTIF(  Papers!G:G, RAW_DATA!Q587 ) = 0</f>
        <v>0</v>
      </c>
      <c r="S587" s="1" t="b">
        <f t="shared" si="2"/>
        <v>0</v>
      </c>
    </row>
    <row r="588" spans="1:19" ht="15.75" customHeight="1">
      <c r="A588" s="1" t="s">
        <v>3270</v>
      </c>
      <c r="B588" s="1" t="s">
        <v>3271</v>
      </c>
      <c r="C588" s="1">
        <v>2020</v>
      </c>
      <c r="D588" s="1" t="s">
        <v>3272</v>
      </c>
      <c r="E588" s="1" t="s">
        <v>3273</v>
      </c>
      <c r="H588" s="1">
        <v>77</v>
      </c>
      <c r="I588" s="1">
        <v>95</v>
      </c>
      <c r="J588" s="1">
        <v>208</v>
      </c>
      <c r="K588" s="1" t="s">
        <v>3274</v>
      </c>
      <c r="L588" s="1" t="s">
        <v>3275</v>
      </c>
      <c r="M588" s="1" t="s">
        <v>169</v>
      </c>
      <c r="N588" s="1" t="s">
        <v>25</v>
      </c>
      <c r="O588" s="1" t="s">
        <v>113</v>
      </c>
      <c r="P588" s="1" t="s">
        <v>27</v>
      </c>
      <c r="Q588" s="1" t="s">
        <v>3276</v>
      </c>
      <c r="R588" s="1" t="b">
        <f>COUNTIF(  Papers!G:G, RAW_DATA!Q588 ) = 0</f>
        <v>0</v>
      </c>
      <c r="S588" s="1" t="b">
        <f t="shared" si="2"/>
        <v>0</v>
      </c>
    </row>
    <row r="589" spans="1:19" ht="15.75" customHeight="1">
      <c r="A589" s="1" t="s">
        <v>3277</v>
      </c>
      <c r="B589" s="1" t="s">
        <v>3278</v>
      </c>
      <c r="C589" s="1">
        <v>2015</v>
      </c>
      <c r="D589" s="1" t="s">
        <v>304</v>
      </c>
      <c r="E589" s="1">
        <v>35</v>
      </c>
      <c r="H589" s="1">
        <v>75</v>
      </c>
      <c r="I589" s="1">
        <v>84</v>
      </c>
      <c r="J589" s="1">
        <v>183</v>
      </c>
      <c r="K589" s="1" t="s">
        <v>3279</v>
      </c>
      <c r="L589" s="1" t="s">
        <v>3280</v>
      </c>
      <c r="M589" s="1" t="s">
        <v>54</v>
      </c>
      <c r="N589" s="1" t="s">
        <v>25</v>
      </c>
      <c r="P589" s="1" t="s">
        <v>27</v>
      </c>
      <c r="Q589" s="1" t="s">
        <v>3281</v>
      </c>
      <c r="R589" s="1" t="b">
        <f>COUNTIF(  Papers!G:G, RAW_DATA!Q589 ) = 0</f>
        <v>0</v>
      </c>
      <c r="S589" s="1" t="b">
        <f t="shared" si="2"/>
        <v>0</v>
      </c>
    </row>
    <row r="590" spans="1:19" ht="15.75" customHeight="1">
      <c r="A590" s="1" t="s">
        <v>3282</v>
      </c>
      <c r="B590" s="1" t="s">
        <v>3283</v>
      </c>
      <c r="C590" s="1">
        <v>2015</v>
      </c>
      <c r="D590" s="1" t="s">
        <v>84</v>
      </c>
      <c r="E590" s="1">
        <v>57</v>
      </c>
      <c r="F590" s="1">
        <v>5</v>
      </c>
      <c r="H590" s="1">
        <v>728</v>
      </c>
      <c r="I590" s="1">
        <v>739</v>
      </c>
      <c r="J590" s="1">
        <v>137</v>
      </c>
      <c r="K590" s="1" t="s">
        <v>3284</v>
      </c>
      <c r="L590" s="1" t="s">
        <v>3285</v>
      </c>
      <c r="M590" s="1" t="s">
        <v>54</v>
      </c>
      <c r="N590" s="1" t="s">
        <v>25</v>
      </c>
      <c r="P590" s="1" t="s">
        <v>27</v>
      </c>
      <c r="Q590" s="1" t="s">
        <v>3286</v>
      </c>
      <c r="R590" s="1" t="b">
        <f>COUNTIF(  Papers!G:G, RAW_DATA!Q590 ) = 0</f>
        <v>0</v>
      </c>
      <c r="S590" s="1" t="b">
        <f t="shared" si="2"/>
        <v>0</v>
      </c>
    </row>
    <row r="591" spans="1:19" ht="15.75" customHeight="1">
      <c r="A591" s="1" t="s">
        <v>3287</v>
      </c>
      <c r="B591" s="1" t="s">
        <v>3288</v>
      </c>
      <c r="C591" s="1">
        <v>2015</v>
      </c>
      <c r="D591" s="1" t="s">
        <v>165</v>
      </c>
      <c r="E591" s="1" t="s">
        <v>3188</v>
      </c>
      <c r="H591" s="1">
        <v>221</v>
      </c>
      <c r="I591" s="1">
        <v>228</v>
      </c>
      <c r="J591" s="1">
        <v>173</v>
      </c>
      <c r="K591" s="1" t="s">
        <v>3289</v>
      </c>
      <c r="L591" s="1" t="s">
        <v>3290</v>
      </c>
      <c r="M591" s="1" t="s">
        <v>169</v>
      </c>
      <c r="N591" s="1" t="s">
        <v>25</v>
      </c>
      <c r="P591" s="1" t="s">
        <v>27</v>
      </c>
      <c r="Q591" s="1" t="s">
        <v>3291</v>
      </c>
      <c r="R591" s="1" t="b">
        <f>COUNTIF(  Papers!G:G, RAW_DATA!Q591 ) = 0</f>
        <v>0</v>
      </c>
      <c r="S591" s="1" t="b">
        <f t="shared" si="2"/>
        <v>0</v>
      </c>
    </row>
    <row r="592" spans="1:19" ht="15.75" customHeight="1">
      <c r="A592" s="1" t="s">
        <v>3292</v>
      </c>
      <c r="B592" s="1" t="s">
        <v>3293</v>
      </c>
      <c r="C592" s="1">
        <v>2020</v>
      </c>
      <c r="D592" s="1" t="s">
        <v>3272</v>
      </c>
      <c r="E592" s="1" t="s">
        <v>3273</v>
      </c>
      <c r="H592" s="1">
        <v>1</v>
      </c>
      <c r="I592" s="1">
        <v>16</v>
      </c>
      <c r="J592" s="1">
        <v>168</v>
      </c>
      <c r="K592" s="1" t="s">
        <v>3294</v>
      </c>
      <c r="L592" s="1" t="s">
        <v>3295</v>
      </c>
      <c r="M592" s="1" t="s">
        <v>169</v>
      </c>
      <c r="N592" s="1" t="s">
        <v>25</v>
      </c>
      <c r="O592" s="1" t="s">
        <v>113</v>
      </c>
      <c r="P592" s="1" t="s">
        <v>27</v>
      </c>
      <c r="Q592" s="1" t="s">
        <v>3296</v>
      </c>
      <c r="R592" s="1" t="b">
        <f>COUNTIF(  Papers!G:G, RAW_DATA!Q592 ) = 0</f>
        <v>0</v>
      </c>
      <c r="S592" s="1" t="b">
        <f t="shared" si="2"/>
        <v>0</v>
      </c>
    </row>
    <row r="593" spans="1:19" ht="15.75" customHeight="1">
      <c r="A593" s="1" t="s">
        <v>3297</v>
      </c>
      <c r="B593" s="1" t="s">
        <v>3298</v>
      </c>
      <c r="C593" s="1">
        <v>2015</v>
      </c>
      <c r="D593" s="1" t="s">
        <v>212</v>
      </c>
      <c r="E593" s="1">
        <v>31</v>
      </c>
      <c r="F593" s="1">
        <v>10</v>
      </c>
      <c r="H593" s="1">
        <v>682</v>
      </c>
      <c r="I593" s="1">
        <v>691</v>
      </c>
      <c r="J593" s="1">
        <v>194</v>
      </c>
      <c r="K593" s="1" t="s">
        <v>3299</v>
      </c>
      <c r="L593" s="1" t="s">
        <v>3300</v>
      </c>
      <c r="M593" s="1" t="s">
        <v>54</v>
      </c>
      <c r="N593" s="1" t="s">
        <v>25</v>
      </c>
      <c r="P593" s="1" t="s">
        <v>27</v>
      </c>
      <c r="Q593" s="1" t="s">
        <v>3301</v>
      </c>
      <c r="R593" s="1" t="b">
        <f>COUNTIF(  Papers!G:G, RAW_DATA!Q593 ) = 0</f>
        <v>0</v>
      </c>
      <c r="S593" s="1" t="b">
        <f t="shared" si="2"/>
        <v>0</v>
      </c>
    </row>
    <row r="594" spans="1:19" ht="15.75" customHeight="1">
      <c r="A594" s="1" t="s">
        <v>3302</v>
      </c>
      <c r="B594" s="1" t="s">
        <v>3303</v>
      </c>
      <c r="C594" s="1">
        <v>2018</v>
      </c>
      <c r="D594" s="1" t="s">
        <v>3234</v>
      </c>
      <c r="E594" s="1">
        <v>597</v>
      </c>
      <c r="H594" s="1">
        <v>525</v>
      </c>
      <c r="I594" s="1">
        <v>537</v>
      </c>
      <c r="J594" s="1">
        <v>106</v>
      </c>
      <c r="K594" s="1" t="s">
        <v>3304</v>
      </c>
      <c r="L594" s="1" t="s">
        <v>3305</v>
      </c>
      <c r="M594" s="1" t="s">
        <v>169</v>
      </c>
      <c r="N594" s="1" t="s">
        <v>25</v>
      </c>
      <c r="P594" s="1" t="s">
        <v>27</v>
      </c>
      <c r="Q594" s="1" t="s">
        <v>3306</v>
      </c>
      <c r="R594" s="1" t="b">
        <f>COUNTIF(  Papers!G:G, RAW_DATA!Q594 ) = 0</f>
        <v>0</v>
      </c>
      <c r="S594" s="1" t="b">
        <f t="shared" si="2"/>
        <v>0</v>
      </c>
    </row>
    <row r="595" spans="1:19" ht="15.75" customHeight="1">
      <c r="A595" s="1" t="s">
        <v>3307</v>
      </c>
      <c r="B595" s="1" t="s">
        <v>3308</v>
      </c>
      <c r="C595" s="1">
        <v>2015</v>
      </c>
      <c r="D595" s="1" t="s">
        <v>247</v>
      </c>
      <c r="E595" s="1" t="s">
        <v>3309</v>
      </c>
      <c r="H595" s="1">
        <v>2201</v>
      </c>
      <c r="I595" s="1">
        <v>2210</v>
      </c>
      <c r="J595" s="1">
        <v>105</v>
      </c>
      <c r="K595" s="1" t="s">
        <v>3310</v>
      </c>
      <c r="L595" s="1" t="s">
        <v>3311</v>
      </c>
      <c r="M595" s="1" t="s">
        <v>169</v>
      </c>
      <c r="N595" s="1" t="s">
        <v>25</v>
      </c>
      <c r="P595" s="1" t="s">
        <v>27</v>
      </c>
      <c r="Q595" s="1" t="s">
        <v>3312</v>
      </c>
      <c r="R595" s="1" t="b">
        <f>COUNTIF(  Papers!G:G, RAW_DATA!Q595 ) = 0</f>
        <v>0</v>
      </c>
      <c r="S595" s="1" t="b">
        <f t="shared" si="2"/>
        <v>0</v>
      </c>
    </row>
    <row r="596" spans="1:19" ht="15.75" customHeight="1">
      <c r="A596" s="1" t="s">
        <v>628</v>
      </c>
      <c r="B596" s="1" t="s">
        <v>3313</v>
      </c>
      <c r="C596" s="1">
        <v>2021</v>
      </c>
      <c r="D596" s="1" t="s">
        <v>3314</v>
      </c>
      <c r="H596" s="1">
        <v>434</v>
      </c>
      <c r="I596" s="1">
        <v>455</v>
      </c>
      <c r="J596" s="1">
        <v>108</v>
      </c>
      <c r="K596" s="1" t="s">
        <v>3315</v>
      </c>
      <c r="L596" s="1" t="s">
        <v>3316</v>
      </c>
      <c r="M596" s="1" t="s">
        <v>3202</v>
      </c>
      <c r="N596" s="1" t="s">
        <v>25</v>
      </c>
      <c r="P596" s="1" t="s">
        <v>27</v>
      </c>
      <c r="Q596" s="1" t="s">
        <v>3317</v>
      </c>
      <c r="R596" s="1" t="b">
        <f>COUNTIF(  Papers!G:G, RAW_DATA!Q596 ) = 0</f>
        <v>0</v>
      </c>
      <c r="S596" s="1" t="b">
        <f t="shared" si="2"/>
        <v>0</v>
      </c>
    </row>
    <row r="597" spans="1:19" ht="15.75" customHeight="1">
      <c r="A597" s="1" t="s">
        <v>3318</v>
      </c>
      <c r="B597" s="1" t="s">
        <v>3319</v>
      </c>
      <c r="C597" s="1">
        <v>2015</v>
      </c>
      <c r="D597" s="1" t="s">
        <v>173</v>
      </c>
      <c r="E597" s="1">
        <v>5</v>
      </c>
      <c r="F597" s="1">
        <v>3</v>
      </c>
      <c r="G597" s="1">
        <v>17</v>
      </c>
      <c r="J597" s="1">
        <v>116</v>
      </c>
      <c r="K597" s="1" t="s">
        <v>3320</v>
      </c>
      <c r="L597" s="1" t="s">
        <v>3321</v>
      </c>
      <c r="M597" s="1" t="s">
        <v>54</v>
      </c>
      <c r="N597" s="1" t="s">
        <v>25</v>
      </c>
      <c r="P597" s="1" t="s">
        <v>27</v>
      </c>
      <c r="Q597" s="1" t="s">
        <v>3322</v>
      </c>
      <c r="R597" s="1" t="b">
        <f>COUNTIF(  Papers!G:G, RAW_DATA!Q597 ) = 0</f>
        <v>0</v>
      </c>
      <c r="S597" s="1" t="b">
        <f t="shared" si="2"/>
        <v>0</v>
      </c>
    </row>
    <row r="598" spans="1:19" ht="15.75" customHeight="1">
      <c r="A598" s="1" t="s">
        <v>3323</v>
      </c>
      <c r="B598" s="1" t="s">
        <v>3324</v>
      </c>
      <c r="C598" s="1">
        <v>2021</v>
      </c>
      <c r="D598" s="1" t="s">
        <v>3325</v>
      </c>
      <c r="J598" s="1">
        <v>109</v>
      </c>
      <c r="L598" s="1" t="s">
        <v>3326</v>
      </c>
      <c r="M598" s="1" t="s">
        <v>169</v>
      </c>
      <c r="N598" s="1" t="s">
        <v>25</v>
      </c>
      <c r="P598" s="1" t="s">
        <v>27</v>
      </c>
      <c r="Q598" s="1" t="s">
        <v>3327</v>
      </c>
      <c r="R598" s="1" t="b">
        <f>COUNTIF(  Papers!G:G, RAW_DATA!Q598 ) = 0</f>
        <v>0</v>
      </c>
      <c r="S598" s="1" t="b">
        <f t="shared" si="2"/>
        <v>0</v>
      </c>
    </row>
    <row r="599" spans="1:19" ht="15.75" customHeight="1">
      <c r="A599" s="1" t="s">
        <v>3328</v>
      </c>
      <c r="B599" s="1" t="s">
        <v>3329</v>
      </c>
      <c r="C599" s="1">
        <v>2015</v>
      </c>
      <c r="D599" s="1" t="s">
        <v>84</v>
      </c>
      <c r="E599" s="1">
        <v>57</v>
      </c>
      <c r="F599" s="1">
        <v>5</v>
      </c>
      <c r="H599" s="1">
        <v>740</v>
      </c>
      <c r="I599" s="1">
        <v>753</v>
      </c>
      <c r="J599" s="1">
        <v>113</v>
      </c>
      <c r="K599" s="1" t="s">
        <v>3330</v>
      </c>
      <c r="L599" s="1" t="s">
        <v>3331</v>
      </c>
      <c r="M599" s="1" t="s">
        <v>54</v>
      </c>
      <c r="N599" s="1" t="s">
        <v>25</v>
      </c>
      <c r="P599" s="1" t="s">
        <v>27</v>
      </c>
      <c r="Q599" s="1" t="s">
        <v>3332</v>
      </c>
      <c r="R599" s="1" t="b">
        <f>COUNTIF(  Papers!G:G, RAW_DATA!Q599 ) = 0</f>
        <v>0</v>
      </c>
      <c r="S599" s="1" t="b">
        <f t="shared" si="2"/>
        <v>0</v>
      </c>
    </row>
    <row r="600" spans="1:19" ht="15.75" customHeight="1">
      <c r="A600" s="1" t="s">
        <v>1222</v>
      </c>
      <c r="B600" s="1" t="s">
        <v>3333</v>
      </c>
      <c r="C600" s="1">
        <v>2015</v>
      </c>
      <c r="D600" s="1" t="s">
        <v>3272</v>
      </c>
      <c r="E600" s="1" t="s">
        <v>3334</v>
      </c>
      <c r="H600" s="1">
        <v>574</v>
      </c>
      <c r="I600" s="1">
        <v>583</v>
      </c>
      <c r="J600" s="1">
        <v>110</v>
      </c>
      <c r="K600" s="1" t="s">
        <v>3335</v>
      </c>
      <c r="L600" s="1" t="s">
        <v>3336</v>
      </c>
      <c r="M600" s="1" t="s">
        <v>169</v>
      </c>
      <c r="N600" s="1" t="s">
        <v>25</v>
      </c>
      <c r="O600" s="1" t="s">
        <v>55</v>
      </c>
      <c r="P600" s="1" t="s">
        <v>27</v>
      </c>
      <c r="Q600" s="1" t="s">
        <v>3337</v>
      </c>
      <c r="R600" s="1" t="b">
        <f>COUNTIF(  Papers!G:G, RAW_DATA!Q600 ) = 0</f>
        <v>0</v>
      </c>
      <c r="S600" s="1" t="b">
        <f t="shared" si="2"/>
        <v>0</v>
      </c>
    </row>
    <row r="601" spans="1:19" ht="15.75" customHeight="1">
      <c r="A601" s="1" t="s">
        <v>3338</v>
      </c>
      <c r="B601" s="6" t="s">
        <v>3339</v>
      </c>
      <c r="C601" s="7">
        <v>2016</v>
      </c>
      <c r="D601" s="8" t="s">
        <v>3340</v>
      </c>
      <c r="E601" s="36" t="s">
        <v>3341</v>
      </c>
      <c r="F601" s="37"/>
      <c r="G601" s="8"/>
      <c r="H601" s="7">
        <v>1135</v>
      </c>
      <c r="I601" s="7">
        <v>1144</v>
      </c>
      <c r="J601" s="7">
        <v>16989</v>
      </c>
      <c r="K601" s="8" t="s">
        <v>3342</v>
      </c>
      <c r="L601" s="9" t="s">
        <v>3343</v>
      </c>
      <c r="M601" s="8" t="s">
        <v>169</v>
      </c>
      <c r="N601" s="8" t="s">
        <v>25</v>
      </c>
      <c r="O601" s="8"/>
      <c r="P601" s="8" t="s">
        <v>27</v>
      </c>
      <c r="Q601" s="8" t="s">
        <v>3344</v>
      </c>
      <c r="R601" s="1" t="b">
        <f>COUNTIF(  Papers!G:G, RAW_DATA!Q601 ) = 0</f>
        <v>1</v>
      </c>
      <c r="S601" s="1" t="b">
        <f t="shared" si="2"/>
        <v>1</v>
      </c>
    </row>
    <row r="602" spans="1:19" ht="15.75" customHeight="1"/>
    <row r="603" spans="1:19" ht="15.75" customHeight="1"/>
    <row r="604" spans="1:19" ht="15.75" customHeight="1"/>
    <row r="605" spans="1:19" ht="15.75" customHeight="1"/>
    <row r="606" spans="1:19" ht="15.75" customHeight="1"/>
    <row r="607" spans="1:19" ht="15.75" customHeight="1"/>
    <row r="608" spans="1:19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:R601" xr:uid="{00000000-0009-0000-0000-000000000000}"/>
  <mergeCells count="1">
    <mergeCell ref="E601:F601"/>
  </mergeCells>
  <hyperlinks>
    <hyperlink ref="L601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7"/>
  <sheetViews>
    <sheetView topLeftCell="B1" workbookViewId="0">
      <selection activeCell="E601" sqref="E601"/>
    </sheetView>
  </sheetViews>
  <sheetFormatPr defaultColWidth="14.42578125" defaultRowHeight="15" customHeight="1"/>
  <cols>
    <col min="1" max="1" width="50" customWidth="1"/>
    <col min="2" max="2" width="75" customWidth="1"/>
    <col min="3" max="3" width="57.42578125" customWidth="1"/>
    <col min="4" max="4" width="11" customWidth="1"/>
    <col min="5" max="5" width="18.42578125" customWidth="1"/>
    <col min="6" max="6" width="17" customWidth="1"/>
    <col min="7" max="7" width="32.5703125" customWidth="1"/>
    <col min="8" max="8" width="26.28515625" customWidth="1"/>
    <col min="9" max="9" width="25.28515625" customWidth="1"/>
    <col min="10" max="20" width="8.7109375" customWidth="1"/>
  </cols>
  <sheetData>
    <row r="1" spans="1:9" ht="37.5">
      <c r="A1" s="10" t="s">
        <v>3345</v>
      </c>
      <c r="B1" s="11" t="s">
        <v>0</v>
      </c>
      <c r="C1" s="11" t="s">
        <v>1</v>
      </c>
      <c r="D1" s="11" t="s">
        <v>3346</v>
      </c>
      <c r="E1" s="11" t="s">
        <v>3347</v>
      </c>
      <c r="F1" s="11" t="s">
        <v>3348</v>
      </c>
      <c r="G1" s="12" t="s">
        <v>16</v>
      </c>
      <c r="H1" s="13" t="s">
        <v>3349</v>
      </c>
      <c r="I1" s="13" t="s">
        <v>3350</v>
      </c>
    </row>
    <row r="2" spans="1:9">
      <c r="A2" s="14"/>
      <c r="B2" s="15" t="s">
        <v>19</v>
      </c>
      <c r="C2" s="15" t="s">
        <v>20</v>
      </c>
      <c r="D2" s="16" t="s">
        <v>3351</v>
      </c>
      <c r="E2" s="16" t="s">
        <v>3352</v>
      </c>
      <c r="F2" s="16" t="s">
        <v>3353</v>
      </c>
      <c r="G2" s="16" t="str">
        <f>_xlfn.XLOOKUP( C2,RAW_DATA!B:B, RAW_DATA!Q:Q, "NOT FOUND" )</f>
        <v>2-s2.0-85099601493</v>
      </c>
      <c r="H2" s="1" t="b">
        <f t="shared" ref="H2:H256" si="0">COUNTIF( G:G, G2 ) &gt; 1</f>
        <v>0</v>
      </c>
      <c r="I2" s="1" t="b">
        <f t="shared" ref="I2:I256" si="1">COUNTIF( C:C, C2 ) &gt; 1</f>
        <v>0</v>
      </c>
    </row>
    <row r="3" spans="1:9">
      <c r="A3" s="14" t="s">
        <v>3354</v>
      </c>
      <c r="B3" s="15" t="s">
        <v>29</v>
      </c>
      <c r="C3" s="15" t="s">
        <v>30</v>
      </c>
      <c r="D3" s="16" t="s">
        <v>3355</v>
      </c>
      <c r="E3" s="16" t="s">
        <v>3352</v>
      </c>
      <c r="F3" s="16" t="s">
        <v>3352</v>
      </c>
      <c r="G3" s="16" t="str">
        <f>_xlfn.XLOOKUP( C3,RAW_DATA!B:B, RAW_DATA!Q:Q, "NOT FOUND" )</f>
        <v>2-s2.0-85119430656</v>
      </c>
      <c r="H3" s="1" t="b">
        <f t="shared" si="0"/>
        <v>0</v>
      </c>
      <c r="I3" s="1" t="b">
        <f t="shared" si="1"/>
        <v>0</v>
      </c>
    </row>
    <row r="4" spans="1:9">
      <c r="A4" s="14" t="s">
        <v>3356</v>
      </c>
      <c r="B4" s="15" t="s">
        <v>34</v>
      </c>
      <c r="C4" s="15" t="s">
        <v>35</v>
      </c>
      <c r="D4" s="16" t="s">
        <v>3355</v>
      </c>
      <c r="E4" s="16" t="s">
        <v>3352</v>
      </c>
      <c r="F4" s="16" t="s">
        <v>3352</v>
      </c>
      <c r="G4" s="16" t="str">
        <f>_xlfn.XLOOKUP( C4,RAW_DATA!B:B, RAW_DATA!Q:Q, "NOT FOUND" )</f>
        <v>2-s2.0-85115041953</v>
      </c>
      <c r="H4" s="1" t="b">
        <f t="shared" si="0"/>
        <v>0</v>
      </c>
      <c r="I4" s="1" t="b">
        <f t="shared" si="1"/>
        <v>0</v>
      </c>
    </row>
    <row r="5" spans="1:9">
      <c r="A5" s="14"/>
      <c r="B5" s="15" t="s">
        <v>43</v>
      </c>
      <c r="C5" s="15" t="s">
        <v>44</v>
      </c>
      <c r="D5" s="16" t="s">
        <v>3351</v>
      </c>
      <c r="E5" s="16" t="s">
        <v>3352</v>
      </c>
      <c r="F5" s="16" t="s">
        <v>3353</v>
      </c>
      <c r="G5" s="16" t="str">
        <f>_xlfn.XLOOKUP( C5,RAW_DATA!B:B, RAW_DATA!Q:Q, "NOT FOUND" )</f>
        <v>2-s2.0-85204730281</v>
      </c>
      <c r="H5" s="1" t="b">
        <f t="shared" si="0"/>
        <v>0</v>
      </c>
      <c r="I5" s="1" t="b">
        <f t="shared" si="1"/>
        <v>0</v>
      </c>
    </row>
    <row r="6" spans="1:9" ht="14.25" customHeight="1">
      <c r="A6" s="14" t="s">
        <v>3357</v>
      </c>
      <c r="B6" s="15" t="s">
        <v>49</v>
      </c>
      <c r="C6" s="15" t="s">
        <v>50</v>
      </c>
      <c r="D6" s="16" t="s">
        <v>3355</v>
      </c>
      <c r="E6" s="16" t="s">
        <v>3352</v>
      </c>
      <c r="F6" s="16" t="s">
        <v>3352</v>
      </c>
      <c r="G6" s="16" t="str">
        <f>_xlfn.XLOOKUP( C6,RAW_DATA!B:B, RAW_DATA!Q:Q, "NOT FOUND" )</f>
        <v>2-s2.0-85109705359</v>
      </c>
      <c r="H6" s="1" t="b">
        <f t="shared" si="0"/>
        <v>0</v>
      </c>
      <c r="I6" s="1" t="b">
        <f t="shared" si="1"/>
        <v>0</v>
      </c>
    </row>
    <row r="7" spans="1:9">
      <c r="A7" s="14" t="s">
        <v>3358</v>
      </c>
      <c r="B7" s="15" t="s">
        <v>57</v>
      </c>
      <c r="C7" s="15" t="s">
        <v>58</v>
      </c>
      <c r="D7" s="16" t="s">
        <v>3359</v>
      </c>
      <c r="E7" s="16" t="s">
        <v>3352</v>
      </c>
      <c r="F7" s="16" t="s">
        <v>3352</v>
      </c>
      <c r="G7" s="16" t="str">
        <f>_xlfn.XLOOKUP( C7,RAW_DATA!B:B, RAW_DATA!Q:Q, "NOT FOUND" )</f>
        <v>2-s2.0-85078934939</v>
      </c>
      <c r="H7" s="1" t="b">
        <f t="shared" si="0"/>
        <v>0</v>
      </c>
      <c r="I7" s="1" t="b">
        <f t="shared" si="1"/>
        <v>0</v>
      </c>
    </row>
    <row r="8" spans="1:9">
      <c r="A8" s="14" t="s">
        <v>3360</v>
      </c>
      <c r="B8" s="15" t="s">
        <v>63</v>
      </c>
      <c r="C8" s="15" t="s">
        <v>64</v>
      </c>
      <c r="D8" s="16" t="s">
        <v>3361</v>
      </c>
      <c r="E8" s="16" t="s">
        <v>3352</v>
      </c>
      <c r="F8" s="16" t="s">
        <v>3352</v>
      </c>
      <c r="G8" s="16" t="str">
        <f>_xlfn.XLOOKUP( C8,RAW_DATA!B:B, RAW_DATA!Q:Q, "NOT FOUND" )</f>
        <v>2-s2.0-85079861440</v>
      </c>
      <c r="H8" s="1" t="b">
        <f t="shared" si="0"/>
        <v>0</v>
      </c>
      <c r="I8" s="1" t="b">
        <f t="shared" si="1"/>
        <v>0</v>
      </c>
    </row>
    <row r="9" spans="1:9">
      <c r="A9" s="14"/>
      <c r="B9" s="15" t="s">
        <v>69</v>
      </c>
      <c r="C9" s="15" t="s">
        <v>70</v>
      </c>
      <c r="D9" s="16"/>
      <c r="E9" s="16" t="s">
        <v>3353</v>
      </c>
      <c r="F9" s="16" t="s">
        <v>3353</v>
      </c>
      <c r="G9" s="16" t="str">
        <f>_xlfn.XLOOKUP( C9,RAW_DATA!B:B, RAW_DATA!Q:Q, "NOT FOUND" )</f>
        <v>2-s2.0-85125573696</v>
      </c>
      <c r="H9" s="1" t="b">
        <f t="shared" si="0"/>
        <v>0</v>
      </c>
      <c r="I9" s="1" t="b">
        <f t="shared" si="1"/>
        <v>0</v>
      </c>
    </row>
    <row r="10" spans="1:9">
      <c r="A10" s="14" t="s">
        <v>3362</v>
      </c>
      <c r="B10" s="15" t="s">
        <v>75</v>
      </c>
      <c r="C10" s="15" t="s">
        <v>76</v>
      </c>
      <c r="D10" s="16" t="s">
        <v>3355</v>
      </c>
      <c r="E10" s="16" t="s">
        <v>3352</v>
      </c>
      <c r="F10" s="16" t="s">
        <v>3352</v>
      </c>
      <c r="G10" s="16" t="str">
        <f>_xlfn.XLOOKUP( C10,RAW_DATA!B:B, RAW_DATA!Q:Q, "NOT FOUND" )</f>
        <v>2-s2.0-85086727009</v>
      </c>
      <c r="H10" s="1" t="b">
        <f t="shared" si="0"/>
        <v>0</v>
      </c>
      <c r="I10" s="1" t="b">
        <f t="shared" si="1"/>
        <v>0</v>
      </c>
    </row>
    <row r="11" spans="1:9">
      <c r="A11" s="14"/>
      <c r="B11" s="15" t="s">
        <v>82</v>
      </c>
      <c r="C11" s="15" t="s">
        <v>83</v>
      </c>
      <c r="D11" s="16" t="s">
        <v>3351</v>
      </c>
      <c r="E11" s="16" t="s">
        <v>3352</v>
      </c>
      <c r="F11" s="16" t="s">
        <v>3353</v>
      </c>
      <c r="G11" s="16" t="str">
        <f>_xlfn.XLOOKUP( C11,RAW_DATA!B:B, RAW_DATA!Q:Q, "NOT FOUND" )</f>
        <v>2-s2.0-84962910809</v>
      </c>
      <c r="H11" s="1" t="b">
        <f t="shared" si="0"/>
        <v>0</v>
      </c>
      <c r="I11" s="1" t="b">
        <f t="shared" si="1"/>
        <v>0</v>
      </c>
    </row>
    <row r="12" spans="1:9">
      <c r="A12" s="14"/>
      <c r="B12" s="15" t="s">
        <v>88</v>
      </c>
      <c r="C12" s="15" t="s">
        <v>89</v>
      </c>
      <c r="D12" s="16"/>
      <c r="E12" s="16" t="s">
        <v>3353</v>
      </c>
      <c r="F12" s="16" t="s">
        <v>3353</v>
      </c>
      <c r="G12" s="16" t="str">
        <f>_xlfn.XLOOKUP( C12,RAW_DATA!B:B, RAW_DATA!Q:Q, "NOT FOUND" )</f>
        <v>2-s2.0-85048531596</v>
      </c>
      <c r="H12" s="1" t="b">
        <f t="shared" si="0"/>
        <v>0</v>
      </c>
      <c r="I12" s="1" t="b">
        <f t="shared" si="1"/>
        <v>0</v>
      </c>
    </row>
    <row r="13" spans="1:9">
      <c r="A13" s="14" t="s">
        <v>3363</v>
      </c>
      <c r="B13" s="15" t="s">
        <v>95</v>
      </c>
      <c r="C13" s="15" t="s">
        <v>96</v>
      </c>
      <c r="D13" s="16" t="s">
        <v>3355</v>
      </c>
      <c r="E13" s="16" t="s">
        <v>3352</v>
      </c>
      <c r="F13" s="16" t="s">
        <v>3352</v>
      </c>
      <c r="G13" s="16" t="str">
        <f>_xlfn.XLOOKUP( C13,RAW_DATA!B:B, RAW_DATA!Q:Q, "NOT FOUND" )</f>
        <v>2-s2.0-85046726952</v>
      </c>
      <c r="H13" s="1" t="b">
        <f t="shared" si="0"/>
        <v>0</v>
      </c>
      <c r="I13" s="1" t="b">
        <f t="shared" si="1"/>
        <v>0</v>
      </c>
    </row>
    <row r="14" spans="1:9">
      <c r="A14" s="14" t="s">
        <v>3364</v>
      </c>
      <c r="B14" s="15" t="s">
        <v>102</v>
      </c>
      <c r="C14" s="15" t="s">
        <v>103</v>
      </c>
      <c r="D14" s="16" t="s">
        <v>3355</v>
      </c>
      <c r="E14" s="16" t="s">
        <v>3352</v>
      </c>
      <c r="F14" s="16" t="s">
        <v>3352</v>
      </c>
      <c r="G14" s="16" t="str">
        <f>_xlfn.XLOOKUP( C14,RAW_DATA!B:B, RAW_DATA!Q:Q, "NOT FOUND" )</f>
        <v>2-s2.0-85107637272</v>
      </c>
      <c r="H14" s="1" t="b">
        <f t="shared" si="0"/>
        <v>0</v>
      </c>
      <c r="I14" s="1" t="b">
        <f t="shared" si="1"/>
        <v>0</v>
      </c>
    </row>
    <row r="15" spans="1:9">
      <c r="A15" s="14"/>
      <c r="B15" s="15" t="s">
        <v>108</v>
      </c>
      <c r="C15" s="15" t="s">
        <v>109</v>
      </c>
      <c r="D15" s="16"/>
      <c r="E15" s="17" t="s">
        <v>3353</v>
      </c>
      <c r="F15" s="16" t="s">
        <v>3353</v>
      </c>
      <c r="G15" s="16" t="str">
        <f>_xlfn.XLOOKUP( C15,RAW_DATA!B:B, RAW_DATA!Q:Q, "NOT FOUND" )</f>
        <v>2-s2.0-85114687655</v>
      </c>
      <c r="H15" s="1" t="b">
        <f t="shared" si="0"/>
        <v>0</v>
      </c>
      <c r="I15" s="1" t="b">
        <f t="shared" si="1"/>
        <v>0</v>
      </c>
    </row>
    <row r="16" spans="1:9">
      <c r="A16" s="14"/>
      <c r="B16" s="15" t="s">
        <v>115</v>
      </c>
      <c r="C16" s="15" t="s">
        <v>116</v>
      </c>
      <c r="D16" s="16"/>
      <c r="E16" s="16" t="s">
        <v>3353</v>
      </c>
      <c r="F16" s="16" t="s">
        <v>3353</v>
      </c>
      <c r="G16" s="16" t="str">
        <f>_xlfn.XLOOKUP( C16,RAW_DATA!B:B, RAW_DATA!Q:Q, "NOT FOUND" )</f>
        <v>2-s2.0-85101531468</v>
      </c>
      <c r="H16" s="1" t="b">
        <f t="shared" si="0"/>
        <v>0</v>
      </c>
      <c r="I16" s="1" t="b">
        <f t="shared" si="1"/>
        <v>0</v>
      </c>
    </row>
    <row r="17" spans="1:9">
      <c r="A17" s="14"/>
      <c r="B17" s="15" t="s">
        <v>122</v>
      </c>
      <c r="C17" s="15" t="s">
        <v>123</v>
      </c>
      <c r="D17" s="16"/>
      <c r="E17" s="16" t="s">
        <v>3352</v>
      </c>
      <c r="F17" s="16" t="s">
        <v>3353</v>
      </c>
      <c r="G17" s="16" t="str">
        <f>_xlfn.XLOOKUP( C17,RAW_DATA!B:B, RAW_DATA!Q:Q, "NOT FOUND" )</f>
        <v>2-s2.0-85087930775</v>
      </c>
      <c r="H17" s="1" t="b">
        <f t="shared" si="0"/>
        <v>0</v>
      </c>
      <c r="I17" s="1" t="b">
        <f t="shared" si="1"/>
        <v>0</v>
      </c>
    </row>
    <row r="18" spans="1:9">
      <c r="A18" s="14"/>
      <c r="B18" s="15" t="s">
        <v>128</v>
      </c>
      <c r="C18" s="15" t="s">
        <v>129</v>
      </c>
      <c r="D18" s="16"/>
      <c r="E18" s="16" t="s">
        <v>3353</v>
      </c>
      <c r="F18" s="16" t="s">
        <v>3353</v>
      </c>
      <c r="G18" s="16" t="str">
        <f>_xlfn.XLOOKUP( C18,RAW_DATA!B:B, RAW_DATA!Q:Q, "NOT FOUND" )</f>
        <v>2-s2.0-85124046364</v>
      </c>
      <c r="H18" s="1" t="b">
        <f t="shared" si="0"/>
        <v>0</v>
      </c>
      <c r="I18" s="1" t="b">
        <f t="shared" si="1"/>
        <v>0</v>
      </c>
    </row>
    <row r="19" spans="1:9">
      <c r="A19" s="14"/>
      <c r="B19" s="15" t="s">
        <v>134</v>
      </c>
      <c r="C19" s="15" t="s">
        <v>135</v>
      </c>
      <c r="D19" s="16"/>
      <c r="E19" s="16" t="s">
        <v>3353</v>
      </c>
      <c r="F19" s="16" t="s">
        <v>3353</v>
      </c>
      <c r="G19" s="16" t="str">
        <f>_xlfn.XLOOKUP( C19,RAW_DATA!B:B, RAW_DATA!Q:Q, "NOT FOUND" )</f>
        <v>2-s2.0-85069455009</v>
      </c>
      <c r="H19" s="1" t="b">
        <f t="shared" si="0"/>
        <v>0</v>
      </c>
      <c r="I19" s="1" t="b">
        <f t="shared" si="1"/>
        <v>0</v>
      </c>
    </row>
    <row r="20" spans="1:9">
      <c r="A20" s="14"/>
      <c r="B20" s="15" t="s">
        <v>140</v>
      </c>
      <c r="C20" s="15" t="s">
        <v>141</v>
      </c>
      <c r="D20" s="16"/>
      <c r="E20" s="16" t="s">
        <v>3353</v>
      </c>
      <c r="F20" s="16" t="s">
        <v>3353</v>
      </c>
      <c r="G20" s="16" t="str">
        <f>_xlfn.XLOOKUP( C20,RAW_DATA!B:B, RAW_DATA!Q:Q, "NOT FOUND" )</f>
        <v>2-s2.0-85135124659</v>
      </c>
      <c r="H20" s="1" t="b">
        <f t="shared" si="0"/>
        <v>0</v>
      </c>
      <c r="I20" s="1" t="b">
        <f t="shared" si="1"/>
        <v>0</v>
      </c>
    </row>
    <row r="21" spans="1:9" ht="15.75" customHeight="1">
      <c r="A21" s="14"/>
      <c r="B21" s="15" t="s">
        <v>146</v>
      </c>
      <c r="C21" s="15" t="s">
        <v>147</v>
      </c>
      <c r="D21" s="16"/>
      <c r="E21" s="16" t="s">
        <v>3353</v>
      </c>
      <c r="F21" s="16" t="s">
        <v>3353</v>
      </c>
      <c r="G21" s="16" t="str">
        <f>_xlfn.XLOOKUP( C21,RAW_DATA!B:B, RAW_DATA!Q:Q, "NOT FOUND" )</f>
        <v>2-s2.0-85116415765</v>
      </c>
      <c r="H21" s="1" t="b">
        <f t="shared" si="0"/>
        <v>0</v>
      </c>
      <c r="I21" s="1" t="b">
        <f t="shared" si="1"/>
        <v>0</v>
      </c>
    </row>
    <row r="22" spans="1:9" ht="15.75" customHeight="1">
      <c r="A22" s="14"/>
      <c r="B22" s="15" t="s">
        <v>152</v>
      </c>
      <c r="C22" s="15" t="s">
        <v>153</v>
      </c>
      <c r="D22" s="16"/>
      <c r="E22" s="16" t="s">
        <v>3353</v>
      </c>
      <c r="F22" s="16" t="s">
        <v>3353</v>
      </c>
      <c r="G22" s="16" t="str">
        <f>_xlfn.XLOOKUP( C22,RAW_DATA!B:B, RAW_DATA!Q:Q, "NOT FOUND" )</f>
        <v>2-s2.0-85106282628</v>
      </c>
      <c r="H22" s="1" t="b">
        <f t="shared" si="0"/>
        <v>0</v>
      </c>
      <c r="I22" s="1" t="b">
        <f t="shared" si="1"/>
        <v>0</v>
      </c>
    </row>
    <row r="23" spans="1:9" ht="15.75" customHeight="1">
      <c r="A23" s="14"/>
      <c r="B23" s="15" t="s">
        <v>158</v>
      </c>
      <c r="C23" s="15" t="s">
        <v>159</v>
      </c>
      <c r="D23" s="16"/>
      <c r="E23" s="16" t="s">
        <v>3353</v>
      </c>
      <c r="F23" s="16" t="s">
        <v>3353</v>
      </c>
      <c r="G23" s="16" t="str">
        <f>_xlfn.XLOOKUP( C23,RAW_DATA!B:B, RAW_DATA!Q:Q, "NOT FOUND" )</f>
        <v>2-s2.0-85105550128</v>
      </c>
      <c r="H23" s="1" t="b">
        <f t="shared" si="0"/>
        <v>0</v>
      </c>
      <c r="I23" s="1" t="b">
        <f t="shared" si="1"/>
        <v>0</v>
      </c>
    </row>
    <row r="24" spans="1:9" ht="15.75" customHeight="1">
      <c r="A24" s="14"/>
      <c r="B24" s="15" t="s">
        <v>163</v>
      </c>
      <c r="C24" s="15" t="s">
        <v>164</v>
      </c>
      <c r="D24" s="16"/>
      <c r="E24" s="16" t="s">
        <v>3353</v>
      </c>
      <c r="F24" s="16" t="s">
        <v>3353</v>
      </c>
      <c r="G24" s="16" t="str">
        <f>_xlfn.XLOOKUP( C24,RAW_DATA!B:B, RAW_DATA!Q:Q, "NOT FOUND" )</f>
        <v>2-s2.0-85021787797</v>
      </c>
      <c r="H24" s="1" t="b">
        <f t="shared" si="0"/>
        <v>0</v>
      </c>
      <c r="I24" s="1" t="b">
        <f t="shared" si="1"/>
        <v>0</v>
      </c>
    </row>
    <row r="25" spans="1:9" ht="15.75" customHeight="1">
      <c r="A25" s="14" t="s">
        <v>3365</v>
      </c>
      <c r="B25" s="15" t="s">
        <v>171</v>
      </c>
      <c r="C25" s="15" t="s">
        <v>172</v>
      </c>
      <c r="D25" s="16" t="s">
        <v>3359</v>
      </c>
      <c r="E25" s="16" t="s">
        <v>3352</v>
      </c>
      <c r="F25" s="16" t="s">
        <v>3352</v>
      </c>
      <c r="G25" s="16" t="str">
        <f>_xlfn.XLOOKUP( C25,RAW_DATA!B:B, RAW_DATA!Q:Q, "NOT FOUND" )</f>
        <v>2-s2.0-85058625902</v>
      </c>
      <c r="H25" s="1" t="b">
        <f t="shared" si="0"/>
        <v>0</v>
      </c>
      <c r="I25" s="1" t="b">
        <f t="shared" si="1"/>
        <v>0</v>
      </c>
    </row>
    <row r="26" spans="1:9" ht="15.75" customHeight="1">
      <c r="A26" s="14"/>
      <c r="B26" s="15" t="s">
        <v>177</v>
      </c>
      <c r="C26" s="15" t="s">
        <v>178</v>
      </c>
      <c r="D26" s="16"/>
      <c r="E26" s="16" t="s">
        <v>3353</v>
      </c>
      <c r="F26" s="16" t="s">
        <v>3353</v>
      </c>
      <c r="G26" s="16" t="str">
        <f>_xlfn.XLOOKUP( C26,RAW_DATA!B:B, RAW_DATA!Q:Q, "NOT FOUND" )</f>
        <v>2-s2.0-85127325455</v>
      </c>
      <c r="H26" s="1" t="b">
        <f t="shared" si="0"/>
        <v>0</v>
      </c>
      <c r="I26" s="1" t="b">
        <f t="shared" si="1"/>
        <v>0</v>
      </c>
    </row>
    <row r="27" spans="1:9" ht="15.75" customHeight="1">
      <c r="A27" s="14"/>
      <c r="B27" s="15" t="s">
        <v>182</v>
      </c>
      <c r="C27" s="15" t="s">
        <v>183</v>
      </c>
      <c r="D27" s="16"/>
      <c r="E27" s="16" t="s">
        <v>3353</v>
      </c>
      <c r="F27" s="16" t="s">
        <v>3353</v>
      </c>
      <c r="G27" s="16" t="str">
        <f>_xlfn.XLOOKUP( C27,RAW_DATA!B:B, RAW_DATA!Q:Q, "NOT FOUND" )</f>
        <v>2-s2.0-85104981249</v>
      </c>
      <c r="H27" s="1" t="b">
        <f t="shared" si="0"/>
        <v>0</v>
      </c>
      <c r="I27" s="1" t="b">
        <f t="shared" si="1"/>
        <v>0</v>
      </c>
    </row>
    <row r="28" spans="1:9" ht="15.75" customHeight="1">
      <c r="A28" s="14"/>
      <c r="B28" s="15" t="s">
        <v>187</v>
      </c>
      <c r="C28" s="15" t="s">
        <v>188</v>
      </c>
      <c r="D28" s="16"/>
      <c r="E28" s="16" t="s">
        <v>3353</v>
      </c>
      <c r="F28" s="16" t="s">
        <v>3353</v>
      </c>
      <c r="G28" s="16" t="str">
        <f>_xlfn.XLOOKUP( C28,RAW_DATA!B:B, RAW_DATA!Q:Q, "NOT FOUND" )</f>
        <v>2-s2.0-85115048327</v>
      </c>
      <c r="H28" s="1" t="b">
        <f t="shared" si="0"/>
        <v>0</v>
      </c>
      <c r="I28" s="1" t="b">
        <f t="shared" si="1"/>
        <v>0</v>
      </c>
    </row>
    <row r="29" spans="1:9" ht="15.75" customHeight="1">
      <c r="A29" s="14" t="s">
        <v>3366</v>
      </c>
      <c r="B29" s="15" t="s">
        <v>193</v>
      </c>
      <c r="C29" s="15" t="s">
        <v>194</v>
      </c>
      <c r="D29" s="16" t="s">
        <v>3355</v>
      </c>
      <c r="E29" s="16" t="s">
        <v>3352</v>
      </c>
      <c r="F29" s="16" t="s">
        <v>3352</v>
      </c>
      <c r="G29" s="16" t="str">
        <f>_xlfn.XLOOKUP( C29,RAW_DATA!B:B, RAW_DATA!Q:Q, "NOT FOUND" )</f>
        <v>2-s2.0-85140762473</v>
      </c>
      <c r="H29" s="1" t="b">
        <f t="shared" si="0"/>
        <v>0</v>
      </c>
      <c r="I29" s="1" t="b">
        <f t="shared" si="1"/>
        <v>0</v>
      </c>
    </row>
    <row r="30" spans="1:9" ht="15.75" customHeight="1">
      <c r="A30" s="14"/>
      <c r="B30" s="15" t="s">
        <v>199</v>
      </c>
      <c r="C30" s="15" t="s">
        <v>200</v>
      </c>
      <c r="D30" s="16"/>
      <c r="E30" s="16" t="s">
        <v>3352</v>
      </c>
      <c r="F30" s="16" t="s">
        <v>3353</v>
      </c>
      <c r="G30" s="16" t="str">
        <f>_xlfn.XLOOKUP( C30,RAW_DATA!B:B, RAW_DATA!Q:Q, "NOT FOUND" )</f>
        <v>2-s2.0-85118576621</v>
      </c>
      <c r="H30" s="1" t="b">
        <f t="shared" si="0"/>
        <v>0</v>
      </c>
      <c r="I30" s="1" t="b">
        <f t="shared" si="1"/>
        <v>0</v>
      </c>
    </row>
    <row r="31" spans="1:9" ht="15.75" customHeight="1">
      <c r="A31" s="14"/>
      <c r="B31" s="15" t="s">
        <v>204</v>
      </c>
      <c r="C31" s="15" t="s">
        <v>205</v>
      </c>
      <c r="D31" s="16"/>
      <c r="E31" s="16" t="s">
        <v>3353</v>
      </c>
      <c r="F31" s="16" t="s">
        <v>3353</v>
      </c>
      <c r="G31" s="16" t="str">
        <f>_xlfn.XLOOKUP( C31,RAW_DATA!B:B, RAW_DATA!Q:Q, "NOT FOUND" )</f>
        <v>2-s2.0-84957895151</v>
      </c>
      <c r="H31" s="1" t="b">
        <f t="shared" si="0"/>
        <v>0</v>
      </c>
      <c r="I31" s="1" t="b">
        <f t="shared" si="1"/>
        <v>0</v>
      </c>
    </row>
    <row r="32" spans="1:9" ht="15.75" customHeight="1">
      <c r="A32" s="14" t="s">
        <v>3367</v>
      </c>
      <c r="B32" s="15" t="s">
        <v>210</v>
      </c>
      <c r="C32" s="15" t="s">
        <v>211</v>
      </c>
      <c r="D32" s="16" t="s">
        <v>3355</v>
      </c>
      <c r="E32" s="16" t="s">
        <v>3352</v>
      </c>
      <c r="F32" s="16" t="s">
        <v>3352</v>
      </c>
      <c r="G32" s="16" t="str">
        <f>_xlfn.XLOOKUP( C32,RAW_DATA!B:B, RAW_DATA!Q:Q, "NOT FOUND" )</f>
        <v>2-s2.0-85141953140</v>
      </c>
      <c r="H32" s="1" t="b">
        <f t="shared" si="0"/>
        <v>0</v>
      </c>
      <c r="I32" s="1" t="b">
        <f t="shared" si="1"/>
        <v>0</v>
      </c>
    </row>
    <row r="33" spans="1:9" ht="15.75" customHeight="1">
      <c r="A33" s="14"/>
      <c r="B33" s="15" t="s">
        <v>216</v>
      </c>
      <c r="C33" s="15" t="s">
        <v>217</v>
      </c>
      <c r="D33" s="16"/>
      <c r="E33" s="16" t="s">
        <v>3352</v>
      </c>
      <c r="F33" s="16" t="s">
        <v>3353</v>
      </c>
      <c r="G33" s="16" t="str">
        <f>_xlfn.XLOOKUP( C33,RAW_DATA!B:B, RAW_DATA!Q:Q, "NOT FOUND" )</f>
        <v>2-s2.0-85087516664</v>
      </c>
      <c r="H33" s="1" t="b">
        <f t="shared" si="0"/>
        <v>0</v>
      </c>
      <c r="I33" s="1" t="b">
        <f t="shared" si="1"/>
        <v>0</v>
      </c>
    </row>
    <row r="34" spans="1:9" ht="15.75" customHeight="1">
      <c r="A34" s="14"/>
      <c r="B34" s="15" t="s">
        <v>222</v>
      </c>
      <c r="C34" s="15" t="s">
        <v>223</v>
      </c>
      <c r="D34" s="16"/>
      <c r="E34" s="16" t="s">
        <v>3352</v>
      </c>
      <c r="F34" s="16" t="s">
        <v>3353</v>
      </c>
      <c r="G34" s="16" t="str">
        <f>_xlfn.XLOOKUP( C34,RAW_DATA!B:B, RAW_DATA!Q:Q, "NOT FOUND" )</f>
        <v>2-s2.0-85087295894</v>
      </c>
      <c r="H34" s="1" t="b">
        <f t="shared" si="0"/>
        <v>0</v>
      </c>
      <c r="I34" s="1" t="b">
        <f t="shared" si="1"/>
        <v>0</v>
      </c>
    </row>
    <row r="35" spans="1:9" ht="15.75" customHeight="1">
      <c r="A35" s="14" t="s">
        <v>3368</v>
      </c>
      <c r="B35" s="15" t="s">
        <v>228</v>
      </c>
      <c r="C35" s="15" t="s">
        <v>229</v>
      </c>
      <c r="D35" s="16" t="s">
        <v>3359</v>
      </c>
      <c r="E35" s="16" t="s">
        <v>3352</v>
      </c>
      <c r="F35" s="16" t="s">
        <v>3352</v>
      </c>
      <c r="G35" s="16" t="str">
        <f>_xlfn.XLOOKUP( C35,RAW_DATA!B:B, RAW_DATA!Q:Q, "NOT FOUND" )</f>
        <v>2-s2.0-85050653532</v>
      </c>
      <c r="H35" s="1" t="b">
        <f t="shared" si="0"/>
        <v>0</v>
      </c>
      <c r="I35" s="1" t="b">
        <f t="shared" si="1"/>
        <v>0</v>
      </c>
    </row>
    <row r="36" spans="1:9" ht="15.75" customHeight="1">
      <c r="A36" s="14"/>
      <c r="B36" s="15" t="s">
        <v>233</v>
      </c>
      <c r="C36" s="15" t="s">
        <v>234</v>
      </c>
      <c r="D36" s="16"/>
      <c r="E36" s="16" t="s">
        <v>3353</v>
      </c>
      <c r="F36" s="16" t="s">
        <v>3353</v>
      </c>
      <c r="G36" s="16" t="str">
        <f>_xlfn.XLOOKUP( C36,RAW_DATA!B:B, RAW_DATA!Q:Q, "NOT FOUND" )</f>
        <v>2-s2.0-85137403442</v>
      </c>
      <c r="H36" s="1" t="b">
        <f t="shared" si="0"/>
        <v>0</v>
      </c>
      <c r="I36" s="1" t="b">
        <f t="shared" si="1"/>
        <v>0</v>
      </c>
    </row>
    <row r="37" spans="1:9" ht="15.75" customHeight="1">
      <c r="A37" s="14" t="s">
        <v>3369</v>
      </c>
      <c r="B37" s="15" t="s">
        <v>239</v>
      </c>
      <c r="C37" s="15" t="s">
        <v>240</v>
      </c>
      <c r="D37" s="16" t="s">
        <v>3355</v>
      </c>
      <c r="E37" s="16" t="s">
        <v>3352</v>
      </c>
      <c r="F37" s="16" t="s">
        <v>3352</v>
      </c>
      <c r="G37" s="16" t="str">
        <f>_xlfn.XLOOKUP( C37,RAW_DATA!B:B, RAW_DATA!Q:Q, "NOT FOUND" )</f>
        <v>2-s2.0-84942154696</v>
      </c>
      <c r="H37" s="1" t="b">
        <f t="shared" si="0"/>
        <v>0</v>
      </c>
      <c r="I37" s="1" t="b">
        <f t="shared" si="1"/>
        <v>0</v>
      </c>
    </row>
    <row r="38" spans="1:9" ht="15.75" customHeight="1">
      <c r="A38" s="14"/>
      <c r="B38" s="15" t="s">
        <v>245</v>
      </c>
      <c r="C38" s="15" t="s">
        <v>246</v>
      </c>
      <c r="D38" s="16"/>
      <c r="E38" s="16" t="s">
        <v>3352</v>
      </c>
      <c r="F38" s="16" t="s">
        <v>3353</v>
      </c>
      <c r="G38" s="16" t="str">
        <f>_xlfn.XLOOKUP( C38,RAW_DATA!B:B, RAW_DATA!Q:Q, "NOT FOUND" )</f>
        <v>2-s2.0-85044532871</v>
      </c>
      <c r="H38" s="1" t="b">
        <f t="shared" si="0"/>
        <v>0</v>
      </c>
      <c r="I38" s="1" t="b">
        <f t="shared" si="1"/>
        <v>0</v>
      </c>
    </row>
    <row r="39" spans="1:9" ht="15.75" customHeight="1">
      <c r="A39" s="14"/>
      <c r="B39" s="15" t="s">
        <v>252</v>
      </c>
      <c r="C39" s="15" t="s">
        <v>253</v>
      </c>
      <c r="D39" s="16"/>
      <c r="E39" s="16" t="s">
        <v>3353</v>
      </c>
      <c r="F39" s="16" t="s">
        <v>3353</v>
      </c>
      <c r="G39" s="16" t="str">
        <f>_xlfn.XLOOKUP( C39,RAW_DATA!B:B, RAW_DATA!Q:Q, "NOT FOUND" )</f>
        <v>2-s2.0-85087542875</v>
      </c>
      <c r="H39" s="1" t="b">
        <f t="shared" si="0"/>
        <v>0</v>
      </c>
      <c r="I39" s="1" t="b">
        <f t="shared" si="1"/>
        <v>0</v>
      </c>
    </row>
    <row r="40" spans="1:9" ht="15.75" customHeight="1">
      <c r="A40" s="14"/>
      <c r="B40" s="15" t="s">
        <v>257</v>
      </c>
      <c r="C40" s="15" t="s">
        <v>258</v>
      </c>
      <c r="D40" s="16"/>
      <c r="E40" s="16" t="s">
        <v>3353</v>
      </c>
      <c r="F40" s="16" t="s">
        <v>3353</v>
      </c>
      <c r="G40" s="16" t="str">
        <f>_xlfn.XLOOKUP( C40,RAW_DATA!B:B, RAW_DATA!Q:Q, "NOT FOUND" )</f>
        <v>2-s2.0-85091505828</v>
      </c>
      <c r="H40" s="1" t="b">
        <f t="shared" si="0"/>
        <v>0</v>
      </c>
      <c r="I40" s="1" t="b">
        <f t="shared" si="1"/>
        <v>0</v>
      </c>
    </row>
    <row r="41" spans="1:9" ht="15.75" customHeight="1">
      <c r="A41" s="14"/>
      <c r="B41" s="15" t="s">
        <v>262</v>
      </c>
      <c r="C41" s="15" t="s">
        <v>263</v>
      </c>
      <c r="D41" s="16"/>
      <c r="E41" s="16" t="s">
        <v>3353</v>
      </c>
      <c r="F41" s="16" t="s">
        <v>3353</v>
      </c>
      <c r="G41" s="16" t="str">
        <f>_xlfn.XLOOKUP( C41,RAW_DATA!B:B, RAW_DATA!Q:Q, "NOT FOUND" )</f>
        <v>2-s2.0-85084122224</v>
      </c>
      <c r="H41" s="1" t="b">
        <f t="shared" si="0"/>
        <v>0</v>
      </c>
      <c r="I41" s="1" t="b">
        <f t="shared" si="1"/>
        <v>0</v>
      </c>
    </row>
    <row r="42" spans="1:9" ht="15.75" customHeight="1">
      <c r="A42" s="14"/>
      <c r="B42" s="15" t="s">
        <v>268</v>
      </c>
      <c r="C42" s="15" t="s">
        <v>269</v>
      </c>
      <c r="D42" s="16"/>
      <c r="E42" s="16" t="s">
        <v>3353</v>
      </c>
      <c r="F42" s="16" t="s">
        <v>3353</v>
      </c>
      <c r="G42" s="16" t="str">
        <f>_xlfn.XLOOKUP( C42,RAW_DATA!B:B, RAW_DATA!Q:Q, "NOT FOUND" )</f>
        <v>2-s2.0-85100863824</v>
      </c>
      <c r="H42" s="1" t="b">
        <f t="shared" si="0"/>
        <v>0</v>
      </c>
      <c r="I42" s="1" t="b">
        <f t="shared" si="1"/>
        <v>0</v>
      </c>
    </row>
    <row r="43" spans="1:9" ht="15.75" customHeight="1">
      <c r="A43" s="14"/>
      <c r="B43" s="15" t="s">
        <v>274</v>
      </c>
      <c r="C43" s="15" t="s">
        <v>275</v>
      </c>
      <c r="D43" s="16"/>
      <c r="E43" s="16" t="s">
        <v>3352</v>
      </c>
      <c r="F43" s="16" t="s">
        <v>3353</v>
      </c>
      <c r="G43" s="16" t="str">
        <f>_xlfn.XLOOKUP( C43,RAW_DATA!B:B, RAW_DATA!Q:Q, "NOT FOUND" )</f>
        <v>2-s2.0-85092748091</v>
      </c>
      <c r="H43" s="1" t="b">
        <f t="shared" si="0"/>
        <v>0</v>
      </c>
      <c r="I43" s="1" t="b">
        <f t="shared" si="1"/>
        <v>0</v>
      </c>
    </row>
    <row r="44" spans="1:9" ht="15.75" customHeight="1">
      <c r="A44" s="14" t="s">
        <v>3370</v>
      </c>
      <c r="B44" s="15" t="s">
        <v>279</v>
      </c>
      <c r="C44" s="15" t="s">
        <v>280</v>
      </c>
      <c r="D44" s="16" t="s">
        <v>3359</v>
      </c>
      <c r="E44" s="16" t="s">
        <v>3352</v>
      </c>
      <c r="F44" s="16" t="s">
        <v>3352</v>
      </c>
      <c r="G44" s="16" t="str">
        <f>_xlfn.XLOOKUP( C44,RAW_DATA!B:B, RAW_DATA!Q:Q, "NOT FOUND" )</f>
        <v>2-s2.0-85102636939</v>
      </c>
      <c r="H44" s="1" t="b">
        <f t="shared" si="0"/>
        <v>0</v>
      </c>
      <c r="I44" s="1" t="b">
        <f t="shared" si="1"/>
        <v>0</v>
      </c>
    </row>
    <row r="45" spans="1:9" ht="15.75" customHeight="1">
      <c r="A45" s="14"/>
      <c r="B45" s="15" t="s">
        <v>285</v>
      </c>
      <c r="C45" s="15" t="s">
        <v>286</v>
      </c>
      <c r="D45" s="16"/>
      <c r="E45" s="16" t="s">
        <v>3353</v>
      </c>
      <c r="F45" s="16" t="s">
        <v>3353</v>
      </c>
      <c r="G45" s="16" t="str">
        <f>_xlfn.XLOOKUP( C45,RAW_DATA!B:B, RAW_DATA!Q:Q, "NOT FOUND" )</f>
        <v>2-s2.0-84964846793</v>
      </c>
      <c r="H45" s="1" t="b">
        <f t="shared" si="0"/>
        <v>0</v>
      </c>
      <c r="I45" s="1" t="b">
        <f t="shared" si="1"/>
        <v>0</v>
      </c>
    </row>
    <row r="46" spans="1:9" ht="15.75" customHeight="1">
      <c r="A46" s="14"/>
      <c r="B46" s="15" t="s">
        <v>291</v>
      </c>
      <c r="C46" s="15" t="s">
        <v>292</v>
      </c>
      <c r="D46" s="16"/>
      <c r="E46" s="16" t="s">
        <v>3353</v>
      </c>
      <c r="F46" s="16" t="s">
        <v>3353</v>
      </c>
      <c r="G46" s="16" t="str">
        <f>_xlfn.XLOOKUP( C46,RAW_DATA!B:B, RAW_DATA!Q:Q, "NOT FOUND" )</f>
        <v>2-s2.0-85099979829</v>
      </c>
      <c r="H46" s="1" t="b">
        <f t="shared" si="0"/>
        <v>0</v>
      </c>
      <c r="I46" s="1" t="b">
        <f t="shared" si="1"/>
        <v>0</v>
      </c>
    </row>
    <row r="47" spans="1:9" ht="15.75" customHeight="1">
      <c r="A47" s="14"/>
      <c r="B47" s="15" t="s">
        <v>296</v>
      </c>
      <c r="C47" s="15" t="s">
        <v>297</v>
      </c>
      <c r="D47" s="16"/>
      <c r="E47" s="16" t="s">
        <v>3352</v>
      </c>
      <c r="F47" s="16" t="s">
        <v>3353</v>
      </c>
      <c r="G47" s="16" t="str">
        <f>_xlfn.XLOOKUP( C47,RAW_DATA!B:B, RAW_DATA!Q:Q, "NOT FOUND" )</f>
        <v>2-s2.0-85128190943</v>
      </c>
      <c r="H47" s="1" t="b">
        <f t="shared" si="0"/>
        <v>0</v>
      </c>
      <c r="I47" s="1" t="b">
        <f t="shared" si="1"/>
        <v>0</v>
      </c>
    </row>
    <row r="48" spans="1:9" ht="15.75" customHeight="1">
      <c r="A48" s="14"/>
      <c r="B48" s="15" t="s">
        <v>302</v>
      </c>
      <c r="C48" s="15" t="s">
        <v>303</v>
      </c>
      <c r="D48" s="16"/>
      <c r="E48" s="16" t="s">
        <v>3352</v>
      </c>
      <c r="F48" s="16" t="s">
        <v>3353</v>
      </c>
      <c r="G48" s="16" t="str">
        <f>_xlfn.XLOOKUP( C48,RAW_DATA!B:B, RAW_DATA!Q:Q, "NOT FOUND" )</f>
        <v>2-s2.0-84995549556</v>
      </c>
      <c r="H48" s="1" t="b">
        <f t="shared" si="0"/>
        <v>0</v>
      </c>
      <c r="I48" s="1" t="b">
        <f t="shared" si="1"/>
        <v>0</v>
      </c>
    </row>
    <row r="49" spans="1:9" ht="15.75" customHeight="1">
      <c r="A49" s="14" t="s">
        <v>3371</v>
      </c>
      <c r="B49" s="15" t="s">
        <v>308</v>
      </c>
      <c r="C49" s="15" t="s">
        <v>309</v>
      </c>
      <c r="D49" s="16" t="s">
        <v>3359</v>
      </c>
      <c r="E49" s="16" t="s">
        <v>3352</v>
      </c>
      <c r="F49" s="16" t="s">
        <v>3352</v>
      </c>
      <c r="G49" s="16" t="str">
        <f>_xlfn.XLOOKUP( C49,RAW_DATA!B:B, RAW_DATA!Q:Q, "NOT FOUND" )</f>
        <v>2-s2.0-85151265419</v>
      </c>
      <c r="H49" s="1" t="b">
        <f t="shared" si="0"/>
        <v>0</v>
      </c>
      <c r="I49" s="1" t="b">
        <f t="shared" si="1"/>
        <v>0</v>
      </c>
    </row>
    <row r="50" spans="1:9" ht="15.75" customHeight="1">
      <c r="A50" s="14"/>
      <c r="B50" s="15" t="s">
        <v>313</v>
      </c>
      <c r="C50" s="15" t="s">
        <v>314</v>
      </c>
      <c r="D50" s="16" t="s">
        <v>3351</v>
      </c>
      <c r="E50" s="16" t="s">
        <v>3352</v>
      </c>
      <c r="F50" s="16" t="s">
        <v>3353</v>
      </c>
      <c r="G50" s="16" t="str">
        <f>_xlfn.XLOOKUP( C50,RAW_DATA!B:B, RAW_DATA!Q:Q, "NOT FOUND" )</f>
        <v>2-s2.0-85147512970</v>
      </c>
      <c r="H50" s="1" t="b">
        <f t="shared" si="0"/>
        <v>0</v>
      </c>
      <c r="I50" s="1" t="b">
        <f t="shared" si="1"/>
        <v>0</v>
      </c>
    </row>
    <row r="51" spans="1:9" ht="15.75" customHeight="1">
      <c r="A51" s="14"/>
      <c r="B51" s="15" t="s">
        <v>319</v>
      </c>
      <c r="C51" s="15" t="s">
        <v>320</v>
      </c>
      <c r="D51" s="16" t="s">
        <v>3351</v>
      </c>
      <c r="E51" s="16" t="s">
        <v>3352</v>
      </c>
      <c r="F51" s="16" t="s">
        <v>3353</v>
      </c>
      <c r="G51" s="16" t="str">
        <f>_xlfn.XLOOKUP( C51,RAW_DATA!B:B, RAW_DATA!Q:Q, "NOT FOUND" )</f>
        <v>2-s2.0-85064355391</v>
      </c>
      <c r="H51" s="1" t="b">
        <f t="shared" si="0"/>
        <v>0</v>
      </c>
      <c r="I51" s="1" t="b">
        <f t="shared" si="1"/>
        <v>0</v>
      </c>
    </row>
    <row r="52" spans="1:9" ht="15.75" customHeight="1">
      <c r="A52" s="14"/>
      <c r="B52" s="15" t="s">
        <v>326</v>
      </c>
      <c r="C52" s="15" t="s">
        <v>327</v>
      </c>
      <c r="D52" s="16"/>
      <c r="E52" s="16" t="s">
        <v>3353</v>
      </c>
      <c r="F52" s="16" t="s">
        <v>3353</v>
      </c>
      <c r="G52" s="16" t="str">
        <f>_xlfn.XLOOKUP( C52,RAW_DATA!B:B, RAW_DATA!Q:Q, "NOT FOUND" )</f>
        <v>2-s2.0-85145502740</v>
      </c>
      <c r="H52" s="1" t="b">
        <f t="shared" si="0"/>
        <v>0</v>
      </c>
      <c r="I52" s="1" t="b">
        <f t="shared" si="1"/>
        <v>0</v>
      </c>
    </row>
    <row r="53" spans="1:9" ht="15.75" customHeight="1">
      <c r="A53" s="14"/>
      <c r="B53" s="15" t="s">
        <v>331</v>
      </c>
      <c r="C53" s="15" t="s">
        <v>332</v>
      </c>
      <c r="D53" s="16"/>
      <c r="E53" s="16" t="s">
        <v>3353</v>
      </c>
      <c r="F53" s="16" t="s">
        <v>3353</v>
      </c>
      <c r="G53" s="16" t="str">
        <f>_xlfn.XLOOKUP( C53,RAW_DATA!B:B, RAW_DATA!Q:Q, "NOT FOUND" )</f>
        <v>2-s2.0-85106476454</v>
      </c>
      <c r="H53" s="1" t="b">
        <f t="shared" si="0"/>
        <v>0</v>
      </c>
      <c r="I53" s="1" t="b">
        <f t="shared" si="1"/>
        <v>0</v>
      </c>
    </row>
    <row r="54" spans="1:9" ht="15.75" customHeight="1">
      <c r="A54" s="14"/>
      <c r="B54" s="15" t="s">
        <v>337</v>
      </c>
      <c r="C54" s="15" t="s">
        <v>338</v>
      </c>
      <c r="D54" s="16"/>
      <c r="E54" s="16" t="s">
        <v>3353</v>
      </c>
      <c r="F54" s="16" t="s">
        <v>3353</v>
      </c>
      <c r="G54" s="16" t="str">
        <f>_xlfn.XLOOKUP( C54,RAW_DATA!B:B, RAW_DATA!Q:Q, "NOT FOUND" )</f>
        <v>2-s2.0-85077848137</v>
      </c>
      <c r="H54" s="1" t="b">
        <f t="shared" si="0"/>
        <v>0</v>
      </c>
      <c r="I54" s="1" t="b">
        <f t="shared" si="1"/>
        <v>0</v>
      </c>
    </row>
    <row r="55" spans="1:9" ht="15.75" customHeight="1">
      <c r="A55" s="14"/>
      <c r="B55" s="15" t="s">
        <v>343</v>
      </c>
      <c r="C55" s="15" t="s">
        <v>344</v>
      </c>
      <c r="D55" s="16"/>
      <c r="E55" s="16" t="s">
        <v>3353</v>
      </c>
      <c r="F55" s="16" t="s">
        <v>3353</v>
      </c>
      <c r="G55" s="16" t="str">
        <f>_xlfn.XLOOKUP( C55,RAW_DATA!B:B, RAW_DATA!Q:Q, "NOT FOUND" )</f>
        <v>2-s2.0-85130877872</v>
      </c>
      <c r="H55" s="1" t="b">
        <f t="shared" si="0"/>
        <v>0</v>
      </c>
      <c r="I55" s="1" t="b">
        <f t="shared" si="1"/>
        <v>0</v>
      </c>
    </row>
    <row r="56" spans="1:9" ht="15.75" customHeight="1">
      <c r="A56" s="14"/>
      <c r="B56" s="15" t="s">
        <v>348</v>
      </c>
      <c r="C56" s="15" t="s">
        <v>349</v>
      </c>
      <c r="D56" s="16"/>
      <c r="E56" s="16" t="s">
        <v>3353</v>
      </c>
      <c r="F56" s="16" t="s">
        <v>3353</v>
      </c>
      <c r="G56" s="16" t="str">
        <f>_xlfn.XLOOKUP( C56,RAW_DATA!B:B, RAW_DATA!Q:Q, "NOT FOUND" )</f>
        <v>2-s2.0-85079632241</v>
      </c>
      <c r="H56" s="1" t="b">
        <f t="shared" si="0"/>
        <v>0</v>
      </c>
      <c r="I56" s="1" t="b">
        <f t="shared" si="1"/>
        <v>0</v>
      </c>
    </row>
    <row r="57" spans="1:9" ht="15.75" customHeight="1">
      <c r="A57" s="14"/>
      <c r="B57" s="15" t="s">
        <v>354</v>
      </c>
      <c r="C57" s="15" t="s">
        <v>355</v>
      </c>
      <c r="D57" s="16"/>
      <c r="E57" s="16" t="s">
        <v>3353</v>
      </c>
      <c r="F57" s="16" t="s">
        <v>3353</v>
      </c>
      <c r="G57" s="16" t="str">
        <f>_xlfn.XLOOKUP( C57,RAW_DATA!B:B, RAW_DATA!Q:Q, "NOT FOUND" )</f>
        <v>2-s2.0-85129401047</v>
      </c>
      <c r="H57" s="1" t="b">
        <f t="shared" si="0"/>
        <v>0</v>
      </c>
      <c r="I57" s="1" t="b">
        <f t="shared" si="1"/>
        <v>0</v>
      </c>
    </row>
    <row r="58" spans="1:9" ht="15.75" customHeight="1">
      <c r="A58" s="14"/>
      <c r="B58" s="15" t="s">
        <v>359</v>
      </c>
      <c r="C58" s="15" t="s">
        <v>360</v>
      </c>
      <c r="D58" s="16"/>
      <c r="E58" s="16" t="s">
        <v>3353</v>
      </c>
      <c r="F58" s="16" t="s">
        <v>3353</v>
      </c>
      <c r="G58" s="16" t="str">
        <f>_xlfn.XLOOKUP( C58,RAW_DATA!B:B, RAW_DATA!Q:Q, "NOT FOUND" )</f>
        <v>2-s2.0-85006900493</v>
      </c>
      <c r="H58" s="1" t="b">
        <f t="shared" si="0"/>
        <v>0</v>
      </c>
      <c r="I58" s="1" t="b">
        <f t="shared" si="1"/>
        <v>0</v>
      </c>
    </row>
    <row r="59" spans="1:9" ht="15.75" customHeight="1">
      <c r="A59" s="14"/>
      <c r="B59" s="15" t="s">
        <v>366</v>
      </c>
      <c r="C59" s="15" t="s">
        <v>367</v>
      </c>
      <c r="D59" s="16" t="s">
        <v>3351</v>
      </c>
      <c r="E59" s="16" t="s">
        <v>3352</v>
      </c>
      <c r="F59" s="16" t="s">
        <v>3353</v>
      </c>
      <c r="G59" s="16" t="str">
        <f>_xlfn.XLOOKUP( C59,RAW_DATA!B:B, RAW_DATA!Q:Q, "NOT FOUND" )</f>
        <v>2-s2.0-85082878572</v>
      </c>
      <c r="H59" s="1" t="b">
        <f t="shared" si="0"/>
        <v>0</v>
      </c>
      <c r="I59" s="1" t="b">
        <f t="shared" si="1"/>
        <v>0</v>
      </c>
    </row>
    <row r="60" spans="1:9" ht="15.75" customHeight="1">
      <c r="A60" s="14"/>
      <c r="B60" s="15" t="s">
        <v>372</v>
      </c>
      <c r="C60" s="15" t="s">
        <v>373</v>
      </c>
      <c r="D60" s="16"/>
      <c r="E60" s="16" t="s">
        <v>3352</v>
      </c>
      <c r="F60" s="16" t="s">
        <v>3353</v>
      </c>
      <c r="G60" s="16" t="str">
        <f>_xlfn.XLOOKUP( C60,RAW_DATA!B:B, RAW_DATA!Q:Q, "NOT FOUND" )</f>
        <v>2-s2.0-85146278182</v>
      </c>
      <c r="H60" s="1" t="b">
        <f t="shared" si="0"/>
        <v>0</v>
      </c>
      <c r="I60" s="1" t="b">
        <f t="shared" si="1"/>
        <v>0</v>
      </c>
    </row>
    <row r="61" spans="1:9" ht="15.75" customHeight="1">
      <c r="A61" s="14"/>
      <c r="B61" s="15" t="s">
        <v>378</v>
      </c>
      <c r="C61" s="15" t="s">
        <v>379</v>
      </c>
      <c r="D61" s="16"/>
      <c r="E61" s="16" t="s">
        <v>3353</v>
      </c>
      <c r="F61" s="16" t="s">
        <v>3353</v>
      </c>
      <c r="G61" s="16" t="str">
        <f>_xlfn.XLOOKUP( C61,RAW_DATA!B:B, RAW_DATA!Q:Q, "NOT FOUND" )</f>
        <v>2-s2.0-85150032477</v>
      </c>
      <c r="H61" s="1" t="b">
        <f t="shared" si="0"/>
        <v>0</v>
      </c>
      <c r="I61" s="1" t="b">
        <f t="shared" si="1"/>
        <v>0</v>
      </c>
    </row>
    <row r="62" spans="1:9" ht="15.75" customHeight="1">
      <c r="A62" s="14"/>
      <c r="B62" s="15" t="s">
        <v>384</v>
      </c>
      <c r="C62" s="15" t="s">
        <v>385</v>
      </c>
      <c r="D62" s="16"/>
      <c r="E62" s="16" t="s">
        <v>3353</v>
      </c>
      <c r="F62" s="16" t="s">
        <v>3353</v>
      </c>
      <c r="G62" s="16" t="str">
        <f>_xlfn.XLOOKUP( C62,RAW_DATA!B:B, RAW_DATA!Q:Q, "NOT FOUND" )</f>
        <v>2-s2.0-85109319306</v>
      </c>
      <c r="H62" s="1" t="b">
        <f t="shared" si="0"/>
        <v>0</v>
      </c>
      <c r="I62" s="1" t="b">
        <f t="shared" si="1"/>
        <v>0</v>
      </c>
    </row>
    <row r="63" spans="1:9" ht="15.75" customHeight="1">
      <c r="A63" s="14"/>
      <c r="B63" s="15" t="s">
        <v>390</v>
      </c>
      <c r="C63" s="15" t="s">
        <v>391</v>
      </c>
      <c r="D63" s="16"/>
      <c r="E63" s="16" t="s">
        <v>3352</v>
      </c>
      <c r="F63" s="16" t="s">
        <v>3353</v>
      </c>
      <c r="G63" s="16" t="str">
        <f>_xlfn.XLOOKUP( C63,RAW_DATA!B:B, RAW_DATA!Q:Q, "NOT FOUND" )</f>
        <v>2-s2.0-85098163651</v>
      </c>
      <c r="H63" s="1" t="b">
        <f t="shared" si="0"/>
        <v>0</v>
      </c>
      <c r="I63" s="1" t="b">
        <f t="shared" si="1"/>
        <v>0</v>
      </c>
    </row>
    <row r="64" spans="1:9" ht="15.75" customHeight="1">
      <c r="A64" s="14"/>
      <c r="B64" s="15" t="s">
        <v>395</v>
      </c>
      <c r="C64" s="15" t="s">
        <v>396</v>
      </c>
      <c r="D64" s="16"/>
      <c r="E64" s="16" t="s">
        <v>3353</v>
      </c>
      <c r="F64" s="16" t="s">
        <v>3353</v>
      </c>
      <c r="G64" s="16" t="str">
        <f>_xlfn.XLOOKUP( C64,RAW_DATA!B:B, RAW_DATA!Q:Q, "NOT FOUND" )</f>
        <v>2-s2.0-85119301669</v>
      </c>
      <c r="H64" s="1" t="b">
        <f t="shared" si="0"/>
        <v>0</v>
      </c>
      <c r="I64" s="1" t="b">
        <f t="shared" si="1"/>
        <v>0</v>
      </c>
    </row>
    <row r="65" spans="1:9" ht="15.75" customHeight="1">
      <c r="A65" s="14" t="s">
        <v>3372</v>
      </c>
      <c r="B65" s="15" t="s">
        <v>401</v>
      </c>
      <c r="C65" s="15" t="s">
        <v>402</v>
      </c>
      <c r="D65" s="16" t="s">
        <v>3355</v>
      </c>
      <c r="E65" s="16" t="s">
        <v>3352</v>
      </c>
      <c r="F65" s="16" t="s">
        <v>3352</v>
      </c>
      <c r="G65" s="16" t="str">
        <f>_xlfn.XLOOKUP( C65,RAW_DATA!B:B, RAW_DATA!Q:Q, "NOT FOUND" )</f>
        <v>2-s2.0-85084924592</v>
      </c>
      <c r="H65" s="1" t="b">
        <f t="shared" si="0"/>
        <v>0</v>
      </c>
      <c r="I65" s="1" t="b">
        <f t="shared" si="1"/>
        <v>0</v>
      </c>
    </row>
    <row r="66" spans="1:9" ht="15.75" customHeight="1">
      <c r="A66" s="14"/>
      <c r="B66" s="15" t="s">
        <v>407</v>
      </c>
      <c r="C66" s="15" t="s">
        <v>408</v>
      </c>
      <c r="D66" s="16"/>
      <c r="E66" s="16" t="s">
        <v>3353</v>
      </c>
      <c r="F66" s="16" t="s">
        <v>3353</v>
      </c>
      <c r="G66" s="16" t="str">
        <f>_xlfn.XLOOKUP( C66,RAW_DATA!B:B, RAW_DATA!Q:Q, "NOT FOUND" )</f>
        <v>2-s2.0-85080112789</v>
      </c>
      <c r="H66" s="1" t="b">
        <f t="shared" si="0"/>
        <v>0</v>
      </c>
      <c r="I66" s="1" t="b">
        <f t="shared" si="1"/>
        <v>0</v>
      </c>
    </row>
    <row r="67" spans="1:9" ht="15.75" customHeight="1">
      <c r="A67" s="14"/>
      <c r="B67" s="15" t="s">
        <v>412</v>
      </c>
      <c r="C67" s="15" t="s">
        <v>413</v>
      </c>
      <c r="D67" s="16"/>
      <c r="E67" s="16" t="s">
        <v>3353</v>
      </c>
      <c r="F67" s="16" t="s">
        <v>3353</v>
      </c>
      <c r="G67" s="16" t="str">
        <f>_xlfn.XLOOKUP( C67,RAW_DATA!B:B, RAW_DATA!Q:Q, "NOT FOUND" )</f>
        <v>2-s2.0-85079608746</v>
      </c>
      <c r="H67" s="1" t="b">
        <f t="shared" si="0"/>
        <v>0</v>
      </c>
      <c r="I67" s="1" t="b">
        <f t="shared" si="1"/>
        <v>0</v>
      </c>
    </row>
    <row r="68" spans="1:9" ht="15.75" customHeight="1">
      <c r="A68" s="14"/>
      <c r="B68" s="15" t="s">
        <v>417</v>
      </c>
      <c r="C68" s="15" t="s">
        <v>418</v>
      </c>
      <c r="D68" s="16"/>
      <c r="E68" s="16" t="s">
        <v>3352</v>
      </c>
      <c r="F68" s="16" t="s">
        <v>3353</v>
      </c>
      <c r="G68" s="16" t="str">
        <f>_xlfn.XLOOKUP( C68,RAW_DATA!B:B, RAW_DATA!Q:Q, "NOT FOUND" )</f>
        <v>2-s2.0-85090737455</v>
      </c>
      <c r="H68" s="1" t="b">
        <f t="shared" si="0"/>
        <v>0</v>
      </c>
      <c r="I68" s="1" t="b">
        <f t="shared" si="1"/>
        <v>0</v>
      </c>
    </row>
    <row r="69" spans="1:9" ht="15.75" customHeight="1">
      <c r="A69" s="14"/>
      <c r="B69" s="15" t="s">
        <v>422</v>
      </c>
      <c r="C69" s="15" t="s">
        <v>423</v>
      </c>
      <c r="D69" s="16"/>
      <c r="E69" s="16" t="s">
        <v>3353</v>
      </c>
      <c r="F69" s="16" t="s">
        <v>3353</v>
      </c>
      <c r="G69" s="16" t="str">
        <f>_xlfn.XLOOKUP( C69,RAW_DATA!B:B, RAW_DATA!Q:Q, "NOT FOUND" )</f>
        <v>2-s2.0-85097225749</v>
      </c>
      <c r="H69" s="1" t="b">
        <f t="shared" si="0"/>
        <v>0</v>
      </c>
      <c r="I69" s="1" t="b">
        <f t="shared" si="1"/>
        <v>0</v>
      </c>
    </row>
    <row r="70" spans="1:9" ht="15.75" customHeight="1">
      <c r="A70" s="14"/>
      <c r="B70" s="15" t="s">
        <v>428</v>
      </c>
      <c r="C70" s="15" t="s">
        <v>429</v>
      </c>
      <c r="D70" s="16"/>
      <c r="E70" s="16" t="s">
        <v>3352</v>
      </c>
      <c r="F70" s="16" t="s">
        <v>3353</v>
      </c>
      <c r="G70" s="16" t="str">
        <f>_xlfn.XLOOKUP( C70,RAW_DATA!B:B, RAW_DATA!Q:Q, "NOT FOUND" )</f>
        <v>2-s2.0-85179498220</v>
      </c>
      <c r="H70" s="1" t="b">
        <f t="shared" si="0"/>
        <v>0</v>
      </c>
      <c r="I70" s="1" t="b">
        <f t="shared" si="1"/>
        <v>0</v>
      </c>
    </row>
    <row r="71" spans="1:9" ht="15.75" customHeight="1">
      <c r="A71" s="14"/>
      <c r="B71" s="15" t="s">
        <v>434</v>
      </c>
      <c r="C71" s="15" t="s">
        <v>435</v>
      </c>
      <c r="D71" s="16"/>
      <c r="E71" s="16" t="s">
        <v>3352</v>
      </c>
      <c r="F71" s="16" t="s">
        <v>3353</v>
      </c>
      <c r="G71" s="16" t="str">
        <f>_xlfn.XLOOKUP( C71,RAW_DATA!B:B, RAW_DATA!Q:Q, "NOT FOUND" )</f>
        <v>2-s2.0-85153706246</v>
      </c>
      <c r="H71" s="1" t="b">
        <f t="shared" si="0"/>
        <v>0</v>
      </c>
      <c r="I71" s="1" t="b">
        <f t="shared" si="1"/>
        <v>0</v>
      </c>
    </row>
    <row r="72" spans="1:9" ht="15.75" customHeight="1">
      <c r="A72" s="14" t="s">
        <v>3373</v>
      </c>
      <c r="B72" s="15" t="s">
        <v>441</v>
      </c>
      <c r="C72" s="15" t="s">
        <v>442</v>
      </c>
      <c r="D72" s="16" t="s">
        <v>3359</v>
      </c>
      <c r="E72" s="16" t="s">
        <v>3352</v>
      </c>
      <c r="F72" s="16" t="s">
        <v>3352</v>
      </c>
      <c r="G72" s="16" t="str">
        <f>_xlfn.XLOOKUP( C72,RAW_DATA!B:B, RAW_DATA!Q:Q, "NOT FOUND" )</f>
        <v>2-s2.0-85082481569</v>
      </c>
      <c r="H72" s="1" t="b">
        <f t="shared" si="0"/>
        <v>0</v>
      </c>
      <c r="I72" s="1" t="b">
        <f t="shared" si="1"/>
        <v>0</v>
      </c>
    </row>
    <row r="73" spans="1:9" ht="15.75" customHeight="1">
      <c r="A73" s="14"/>
      <c r="B73" s="15" t="s">
        <v>447</v>
      </c>
      <c r="C73" s="15" t="s">
        <v>448</v>
      </c>
      <c r="D73" s="16"/>
      <c r="E73" s="16" t="s">
        <v>3353</v>
      </c>
      <c r="F73" s="16" t="s">
        <v>3353</v>
      </c>
      <c r="G73" s="16" t="str">
        <f>_xlfn.XLOOKUP( C73,RAW_DATA!B:B, RAW_DATA!Q:Q, "NOT FOUND" )</f>
        <v>2-s2.0-85146268490</v>
      </c>
      <c r="H73" s="1" t="b">
        <f t="shared" si="0"/>
        <v>0</v>
      </c>
      <c r="I73" s="1" t="b">
        <f t="shared" si="1"/>
        <v>0</v>
      </c>
    </row>
    <row r="74" spans="1:9" ht="15.75" customHeight="1">
      <c r="A74" s="14"/>
      <c r="B74" s="15" t="s">
        <v>453</v>
      </c>
      <c r="C74" s="15" t="s">
        <v>454</v>
      </c>
      <c r="D74" s="16"/>
      <c r="E74" s="16" t="s">
        <v>3352</v>
      </c>
      <c r="F74" s="16" t="s">
        <v>3353</v>
      </c>
      <c r="G74" s="16" t="str">
        <f>_xlfn.XLOOKUP( C74,RAW_DATA!B:B, RAW_DATA!Q:Q, "NOT FOUND" )</f>
        <v>2-s2.0-85120872880</v>
      </c>
      <c r="H74" s="1" t="b">
        <f t="shared" si="0"/>
        <v>0</v>
      </c>
      <c r="I74" s="1" t="b">
        <f t="shared" si="1"/>
        <v>0</v>
      </c>
    </row>
    <row r="75" spans="1:9" ht="15.75" customHeight="1">
      <c r="A75" s="14" t="s">
        <v>3374</v>
      </c>
      <c r="B75" s="15" t="s">
        <v>459</v>
      </c>
      <c r="C75" s="15" t="s">
        <v>460</v>
      </c>
      <c r="D75" s="16" t="s">
        <v>3355</v>
      </c>
      <c r="E75" s="16" t="s">
        <v>3352</v>
      </c>
      <c r="F75" s="16" t="s">
        <v>3352</v>
      </c>
      <c r="G75" s="16" t="str">
        <f>_xlfn.XLOOKUP( C75,RAW_DATA!B:B, RAW_DATA!Q:Q, "NOT FOUND" )</f>
        <v>2-s2.0-85056605201</v>
      </c>
      <c r="H75" s="1" t="b">
        <f t="shared" si="0"/>
        <v>0</v>
      </c>
      <c r="I75" s="1" t="b">
        <f t="shared" si="1"/>
        <v>0</v>
      </c>
    </row>
    <row r="76" spans="1:9" ht="15.75" customHeight="1">
      <c r="A76" s="14"/>
      <c r="B76" s="15" t="s">
        <v>464</v>
      </c>
      <c r="C76" s="15" t="s">
        <v>465</v>
      </c>
      <c r="D76" s="16"/>
      <c r="E76" s="16" t="s">
        <v>3352</v>
      </c>
      <c r="F76" s="16" t="s">
        <v>3353</v>
      </c>
      <c r="G76" s="16" t="str">
        <f>_xlfn.XLOOKUP( C76,RAW_DATA!B:B, RAW_DATA!Q:Q, "NOT FOUND" )</f>
        <v>2-s2.0-85172167777</v>
      </c>
      <c r="H76" s="1" t="b">
        <f t="shared" si="0"/>
        <v>0</v>
      </c>
      <c r="I76" s="1" t="b">
        <f t="shared" si="1"/>
        <v>0</v>
      </c>
    </row>
    <row r="77" spans="1:9" ht="15.75" customHeight="1">
      <c r="A77" s="14" t="s">
        <v>3375</v>
      </c>
      <c r="B77" s="1" t="s">
        <v>470</v>
      </c>
      <c r="C77" s="15" t="s">
        <v>471</v>
      </c>
      <c r="D77" s="16" t="s">
        <v>3359</v>
      </c>
      <c r="E77" s="16" t="s">
        <v>3352</v>
      </c>
      <c r="F77" s="16" t="s">
        <v>3352</v>
      </c>
      <c r="G77" s="16" t="str">
        <f>_xlfn.XLOOKUP( C77,RAW_DATA!B:B, RAW_DATA!Q:Q, "NOT FOUND" )</f>
        <v>2-s2.0-85159924829</v>
      </c>
      <c r="H77" s="1" t="b">
        <f t="shared" si="0"/>
        <v>0</v>
      </c>
      <c r="I77" s="1" t="b">
        <f t="shared" si="1"/>
        <v>0</v>
      </c>
    </row>
    <row r="78" spans="1:9" ht="15.75" customHeight="1">
      <c r="A78" s="14" t="s">
        <v>3376</v>
      </c>
      <c r="B78" s="15" t="s">
        <v>476</v>
      </c>
      <c r="C78" s="15" t="s">
        <v>477</v>
      </c>
      <c r="D78" s="16" t="s">
        <v>3359</v>
      </c>
      <c r="E78" s="16" t="s">
        <v>3352</v>
      </c>
      <c r="F78" s="16" t="s">
        <v>3352</v>
      </c>
      <c r="G78" s="16" t="str">
        <f>_xlfn.XLOOKUP( C78,RAW_DATA!B:B, RAW_DATA!Q:Q, "NOT FOUND" )</f>
        <v>2-s2.0-85089530712</v>
      </c>
      <c r="H78" s="1" t="b">
        <f t="shared" si="0"/>
        <v>0</v>
      </c>
      <c r="I78" s="1" t="b">
        <f t="shared" si="1"/>
        <v>0</v>
      </c>
    </row>
    <row r="79" spans="1:9" ht="15.75" customHeight="1">
      <c r="A79" s="14"/>
      <c r="B79" s="15" t="s">
        <v>482</v>
      </c>
      <c r="C79" s="15" t="s">
        <v>483</v>
      </c>
      <c r="D79" s="16"/>
      <c r="E79" s="16" t="s">
        <v>3353</v>
      </c>
      <c r="F79" s="16" t="s">
        <v>3353</v>
      </c>
      <c r="G79" s="16" t="str">
        <f>_xlfn.XLOOKUP( C79,RAW_DATA!B:B, RAW_DATA!Q:Q, "NOT FOUND" )</f>
        <v>2-s2.0-85115723507</v>
      </c>
      <c r="H79" s="1" t="b">
        <f t="shared" si="0"/>
        <v>0</v>
      </c>
      <c r="I79" s="1" t="b">
        <f t="shared" si="1"/>
        <v>0</v>
      </c>
    </row>
    <row r="80" spans="1:9" ht="15.75" customHeight="1">
      <c r="A80" s="14"/>
      <c r="B80" s="15" t="s">
        <v>487</v>
      </c>
      <c r="C80" s="15" t="s">
        <v>488</v>
      </c>
      <c r="D80" s="16"/>
      <c r="E80" s="16" t="s">
        <v>3353</v>
      </c>
      <c r="F80" s="16" t="s">
        <v>3353</v>
      </c>
      <c r="G80" s="16" t="str">
        <f>_xlfn.XLOOKUP( C80,RAW_DATA!B:B, RAW_DATA!Q:Q, "NOT FOUND" )</f>
        <v>2-s2.0-85075593782</v>
      </c>
      <c r="H80" s="1" t="b">
        <f t="shared" si="0"/>
        <v>0</v>
      </c>
      <c r="I80" s="1" t="b">
        <f t="shared" si="1"/>
        <v>0</v>
      </c>
    </row>
    <row r="81" spans="1:9" ht="15.75" customHeight="1">
      <c r="A81" s="14"/>
      <c r="B81" s="15" t="s">
        <v>493</v>
      </c>
      <c r="C81" s="15" t="s">
        <v>494</v>
      </c>
      <c r="D81" s="16"/>
      <c r="E81" s="16" t="s">
        <v>3353</v>
      </c>
      <c r="F81" s="16" t="s">
        <v>3353</v>
      </c>
      <c r="G81" s="16" t="str">
        <f>_xlfn.XLOOKUP( C81,RAW_DATA!B:B, RAW_DATA!Q:Q, "NOT FOUND" )</f>
        <v>2-s2.0-85106604957</v>
      </c>
      <c r="H81" s="1" t="b">
        <f t="shared" si="0"/>
        <v>0</v>
      </c>
      <c r="I81" s="1" t="b">
        <f t="shared" si="1"/>
        <v>0</v>
      </c>
    </row>
    <row r="82" spans="1:9" ht="15.75" customHeight="1">
      <c r="A82" s="14"/>
      <c r="B82" s="15" t="s">
        <v>499</v>
      </c>
      <c r="C82" s="15" t="s">
        <v>500</v>
      </c>
      <c r="D82" s="16"/>
      <c r="E82" s="16" t="s">
        <v>3353</v>
      </c>
      <c r="F82" s="16" t="s">
        <v>3353</v>
      </c>
      <c r="G82" s="16" t="str">
        <f>_xlfn.XLOOKUP( C82,RAW_DATA!B:B, RAW_DATA!Q:Q, "NOT FOUND" )</f>
        <v>2-s2.0-85061781028</v>
      </c>
      <c r="H82" s="1" t="b">
        <f t="shared" si="0"/>
        <v>0</v>
      </c>
      <c r="I82" s="1" t="b">
        <f t="shared" si="1"/>
        <v>0</v>
      </c>
    </row>
    <row r="83" spans="1:9" ht="15.75" customHeight="1">
      <c r="A83" s="14"/>
      <c r="B83" s="15" t="s">
        <v>505</v>
      </c>
      <c r="C83" s="15" t="s">
        <v>506</v>
      </c>
      <c r="D83" s="16"/>
      <c r="E83" s="16" t="s">
        <v>3352</v>
      </c>
      <c r="F83" s="16" t="s">
        <v>3353</v>
      </c>
      <c r="G83" s="16" t="str">
        <f>_xlfn.XLOOKUP( C83,RAW_DATA!B:B, RAW_DATA!Q:Q, "NOT FOUND" )</f>
        <v>2-s2.0-85096303826</v>
      </c>
      <c r="H83" s="1" t="b">
        <f t="shared" si="0"/>
        <v>0</v>
      </c>
      <c r="I83" s="1" t="b">
        <f t="shared" si="1"/>
        <v>0</v>
      </c>
    </row>
    <row r="84" spans="1:9" ht="15.75" customHeight="1">
      <c r="A84" s="14"/>
      <c r="B84" s="15" t="s">
        <v>511</v>
      </c>
      <c r="C84" s="15" t="s">
        <v>512</v>
      </c>
      <c r="D84" s="16"/>
      <c r="E84" s="16" t="s">
        <v>3353</v>
      </c>
      <c r="F84" s="16" t="s">
        <v>3353</v>
      </c>
      <c r="G84" s="16" t="str">
        <f>_xlfn.XLOOKUP( C84,RAW_DATA!B:B, RAW_DATA!Q:Q, "NOT FOUND" )</f>
        <v>2-s2.0-85045104296</v>
      </c>
      <c r="H84" s="1" t="b">
        <f t="shared" si="0"/>
        <v>0</v>
      </c>
      <c r="I84" s="1" t="b">
        <f t="shared" si="1"/>
        <v>0</v>
      </c>
    </row>
    <row r="85" spans="1:9" ht="15.75" customHeight="1">
      <c r="A85" s="14" t="s">
        <v>3377</v>
      </c>
      <c r="B85" s="15" t="s">
        <v>517</v>
      </c>
      <c r="C85" s="15" t="s">
        <v>518</v>
      </c>
      <c r="D85" s="16" t="s">
        <v>3359</v>
      </c>
      <c r="E85" s="16" t="s">
        <v>3352</v>
      </c>
      <c r="F85" s="16" t="s">
        <v>3352</v>
      </c>
      <c r="G85" s="16" t="str">
        <f>_xlfn.XLOOKUP( C85,RAW_DATA!B:B, RAW_DATA!Q:Q, "NOT FOUND" )</f>
        <v>2-s2.0-85106720283</v>
      </c>
      <c r="H85" s="1" t="b">
        <f t="shared" si="0"/>
        <v>0</v>
      </c>
      <c r="I85" s="1" t="b">
        <f t="shared" si="1"/>
        <v>0</v>
      </c>
    </row>
    <row r="86" spans="1:9" ht="15.75" customHeight="1">
      <c r="A86" s="14"/>
      <c r="B86" s="15" t="s">
        <v>522</v>
      </c>
      <c r="C86" s="15" t="s">
        <v>523</v>
      </c>
      <c r="D86" s="16"/>
      <c r="E86" s="16" t="s">
        <v>3352</v>
      </c>
      <c r="F86" s="16" t="s">
        <v>3353</v>
      </c>
      <c r="G86" s="16" t="str">
        <f>_xlfn.XLOOKUP( C86,RAW_DATA!B:B, RAW_DATA!Q:Q, "NOT FOUND" )</f>
        <v>2-s2.0-85128424819</v>
      </c>
      <c r="H86" s="1" t="b">
        <f t="shared" si="0"/>
        <v>0</v>
      </c>
      <c r="I86" s="1" t="b">
        <f t="shared" si="1"/>
        <v>0</v>
      </c>
    </row>
    <row r="87" spans="1:9" ht="15.75" customHeight="1">
      <c r="A87" s="14"/>
      <c r="B87" s="15" t="s">
        <v>528</v>
      </c>
      <c r="C87" s="15" t="s">
        <v>529</v>
      </c>
      <c r="D87" s="16"/>
      <c r="E87" s="16" t="s">
        <v>3353</v>
      </c>
      <c r="F87" s="16" t="s">
        <v>3353</v>
      </c>
      <c r="G87" s="16" t="str">
        <f>_xlfn.XLOOKUP( C87,RAW_DATA!B:B, RAW_DATA!Q:Q, "NOT FOUND" )</f>
        <v>2-s2.0-85029816073</v>
      </c>
      <c r="H87" s="1" t="b">
        <f t="shared" si="0"/>
        <v>0</v>
      </c>
      <c r="I87" s="1" t="b">
        <f t="shared" si="1"/>
        <v>0</v>
      </c>
    </row>
    <row r="88" spans="1:9" ht="15.75" customHeight="1">
      <c r="A88" s="14"/>
      <c r="B88" s="15" t="s">
        <v>534</v>
      </c>
      <c r="C88" s="15" t="s">
        <v>535</v>
      </c>
      <c r="D88" s="16"/>
      <c r="E88" s="16" t="s">
        <v>3353</v>
      </c>
      <c r="F88" s="16" t="s">
        <v>3353</v>
      </c>
      <c r="G88" s="16" t="str">
        <f>_xlfn.XLOOKUP( C88,RAW_DATA!B:B, RAW_DATA!Q:Q, "NOT FOUND" )</f>
        <v>2-s2.0-85137060930</v>
      </c>
      <c r="H88" s="1" t="b">
        <f t="shared" si="0"/>
        <v>0</v>
      </c>
      <c r="I88" s="1" t="b">
        <f t="shared" si="1"/>
        <v>0</v>
      </c>
    </row>
    <row r="89" spans="1:9" ht="15.75" customHeight="1">
      <c r="A89" s="14"/>
      <c r="B89" s="15" t="s">
        <v>539</v>
      </c>
      <c r="C89" s="15" t="s">
        <v>540</v>
      </c>
      <c r="D89" s="16"/>
      <c r="E89" s="16" t="s">
        <v>3353</v>
      </c>
      <c r="F89" s="16" t="s">
        <v>3353</v>
      </c>
      <c r="G89" s="16" t="str">
        <f>_xlfn.XLOOKUP( C89,RAW_DATA!B:B, RAW_DATA!Q:Q, "NOT FOUND" )</f>
        <v>2-s2.0-85125569707</v>
      </c>
      <c r="H89" s="1" t="b">
        <f t="shared" si="0"/>
        <v>0</v>
      </c>
      <c r="I89" s="1" t="b">
        <f t="shared" si="1"/>
        <v>0</v>
      </c>
    </row>
    <row r="90" spans="1:9" ht="15.75" customHeight="1">
      <c r="A90" s="14"/>
      <c r="B90" s="15" t="s">
        <v>545</v>
      </c>
      <c r="C90" s="15" t="s">
        <v>546</v>
      </c>
      <c r="D90" s="16"/>
      <c r="E90" s="16" t="s">
        <v>3352</v>
      </c>
      <c r="F90" s="16" t="s">
        <v>3353</v>
      </c>
      <c r="G90" s="16" t="str">
        <f>_xlfn.XLOOKUP( C90,RAW_DATA!B:B, RAW_DATA!Q:Q, "NOT FOUND" )</f>
        <v>2-s2.0-85119501865</v>
      </c>
      <c r="H90" s="1" t="b">
        <f t="shared" si="0"/>
        <v>0</v>
      </c>
      <c r="I90" s="1" t="b">
        <f t="shared" si="1"/>
        <v>0</v>
      </c>
    </row>
    <row r="91" spans="1:9" ht="15.75" customHeight="1">
      <c r="A91" s="14"/>
      <c r="B91" s="15" t="s">
        <v>551</v>
      </c>
      <c r="C91" s="15" t="s">
        <v>552</v>
      </c>
      <c r="D91" s="16"/>
      <c r="E91" s="16" t="s">
        <v>3352</v>
      </c>
      <c r="F91" s="16" t="s">
        <v>3353</v>
      </c>
      <c r="G91" s="16" t="str">
        <f>_xlfn.XLOOKUP( C91,RAW_DATA!B:B, RAW_DATA!Q:Q, "NOT FOUND" )</f>
        <v>2-s2.0-85089816705</v>
      </c>
      <c r="H91" s="1" t="b">
        <f t="shared" si="0"/>
        <v>0</v>
      </c>
      <c r="I91" s="1" t="b">
        <f t="shared" si="1"/>
        <v>0</v>
      </c>
    </row>
    <row r="92" spans="1:9" ht="18.75" customHeight="1">
      <c r="A92" s="14" t="s">
        <v>3378</v>
      </c>
      <c r="B92" s="15" t="s">
        <v>556</v>
      </c>
      <c r="C92" s="15" t="s">
        <v>557</v>
      </c>
      <c r="D92" s="16" t="s">
        <v>3355</v>
      </c>
      <c r="E92" s="16" t="s">
        <v>3352</v>
      </c>
      <c r="F92" s="16" t="s">
        <v>3352</v>
      </c>
      <c r="G92" s="16" t="str">
        <f>_xlfn.XLOOKUP( C92,RAW_DATA!B:B, RAW_DATA!Q:Q, "NOT FOUND" )</f>
        <v>2-s2.0-85077758620</v>
      </c>
      <c r="H92" s="1" t="b">
        <f t="shared" si="0"/>
        <v>0</v>
      </c>
      <c r="I92" s="1" t="b">
        <f t="shared" si="1"/>
        <v>0</v>
      </c>
    </row>
    <row r="93" spans="1:9" ht="15.75" customHeight="1">
      <c r="A93" s="14"/>
      <c r="B93" s="15" t="s">
        <v>562</v>
      </c>
      <c r="C93" s="15" t="s">
        <v>563</v>
      </c>
      <c r="D93" s="16"/>
      <c r="E93" s="16" t="s">
        <v>3353</v>
      </c>
      <c r="F93" s="16" t="s">
        <v>3353</v>
      </c>
      <c r="G93" s="16" t="str">
        <f>_xlfn.XLOOKUP( C93,RAW_DATA!B:B, RAW_DATA!Q:Q, "NOT FOUND" )</f>
        <v>2-s2.0-85144829011</v>
      </c>
      <c r="H93" s="1" t="b">
        <f t="shared" si="0"/>
        <v>0</v>
      </c>
      <c r="I93" s="1" t="b">
        <f t="shared" si="1"/>
        <v>0</v>
      </c>
    </row>
    <row r="94" spans="1:9" ht="15.75" customHeight="1">
      <c r="A94" s="14" t="s">
        <v>3379</v>
      </c>
      <c r="B94" s="15" t="s">
        <v>568</v>
      </c>
      <c r="C94" s="15" t="s">
        <v>569</v>
      </c>
      <c r="D94" s="16" t="s">
        <v>3380</v>
      </c>
      <c r="E94" s="16" t="s">
        <v>3352</v>
      </c>
      <c r="F94" s="16" t="s">
        <v>3352</v>
      </c>
      <c r="G94" s="16" t="str">
        <f>_xlfn.XLOOKUP( C94,RAW_DATA!B:B, RAW_DATA!Q:Q, "NOT FOUND" )</f>
        <v>2-s2.0-85104503567</v>
      </c>
      <c r="H94" s="1" t="b">
        <f t="shared" si="0"/>
        <v>0</v>
      </c>
      <c r="I94" s="1" t="b">
        <f t="shared" si="1"/>
        <v>0</v>
      </c>
    </row>
    <row r="95" spans="1:9" ht="15.75" customHeight="1">
      <c r="A95" s="14"/>
      <c r="B95" s="15" t="s">
        <v>573</v>
      </c>
      <c r="C95" s="15" t="s">
        <v>574</v>
      </c>
      <c r="D95" s="16"/>
      <c r="E95" s="16" t="s">
        <v>3353</v>
      </c>
      <c r="F95" s="16" t="s">
        <v>3353</v>
      </c>
      <c r="G95" s="16" t="str">
        <f>_xlfn.XLOOKUP( C95,RAW_DATA!B:B, RAW_DATA!Q:Q, "NOT FOUND" )</f>
        <v>2-s2.0-85079599165</v>
      </c>
      <c r="H95" s="1" t="b">
        <f t="shared" si="0"/>
        <v>0</v>
      </c>
      <c r="I95" s="1" t="b">
        <f t="shared" si="1"/>
        <v>0</v>
      </c>
    </row>
    <row r="96" spans="1:9" ht="15.75" customHeight="1">
      <c r="A96" s="14"/>
      <c r="B96" s="15" t="s">
        <v>579</v>
      </c>
      <c r="C96" s="15" t="s">
        <v>580</v>
      </c>
      <c r="D96" s="16"/>
      <c r="E96" s="16" t="s">
        <v>3353</v>
      </c>
      <c r="F96" s="16" t="s">
        <v>3353</v>
      </c>
      <c r="G96" s="16" t="str">
        <f>_xlfn.XLOOKUP( C96,RAW_DATA!B:B, RAW_DATA!Q:Q, "NOT FOUND" )</f>
        <v>2-s2.0-85090125043</v>
      </c>
      <c r="H96" s="1" t="b">
        <f t="shared" si="0"/>
        <v>0</v>
      </c>
      <c r="I96" s="1" t="b">
        <f t="shared" si="1"/>
        <v>0</v>
      </c>
    </row>
    <row r="97" spans="1:9" ht="15.75" customHeight="1">
      <c r="A97" s="14"/>
      <c r="B97" s="15" t="s">
        <v>584</v>
      </c>
      <c r="C97" s="15" t="s">
        <v>585</v>
      </c>
      <c r="D97" s="16"/>
      <c r="E97" s="16" t="s">
        <v>3353</v>
      </c>
      <c r="F97" s="16" t="s">
        <v>3353</v>
      </c>
      <c r="G97" s="16" t="str">
        <f>_xlfn.XLOOKUP( C97,RAW_DATA!B:B, RAW_DATA!Q:Q, "NOT FOUND" )</f>
        <v>2-s2.0-85207410244</v>
      </c>
      <c r="H97" s="1" t="b">
        <f t="shared" si="0"/>
        <v>0</v>
      </c>
      <c r="I97" s="1" t="b">
        <f t="shared" si="1"/>
        <v>0</v>
      </c>
    </row>
    <row r="98" spans="1:9" ht="15.75" customHeight="1">
      <c r="A98" s="14"/>
      <c r="B98" s="15" t="s">
        <v>590</v>
      </c>
      <c r="C98" s="15" t="s">
        <v>591</v>
      </c>
      <c r="D98" s="16"/>
      <c r="E98" s="16" t="s">
        <v>3352</v>
      </c>
      <c r="F98" s="16" t="s">
        <v>3353</v>
      </c>
      <c r="G98" s="16" t="str">
        <f>_xlfn.XLOOKUP( C98,RAW_DATA!B:B, RAW_DATA!Q:Q, "NOT FOUND" )</f>
        <v>2-s2.0-85144966908</v>
      </c>
      <c r="H98" s="1" t="b">
        <f t="shared" si="0"/>
        <v>0</v>
      </c>
      <c r="I98" s="1" t="b">
        <f t="shared" si="1"/>
        <v>0</v>
      </c>
    </row>
    <row r="99" spans="1:9" ht="15.75" customHeight="1">
      <c r="A99" s="14"/>
      <c r="B99" s="15" t="s">
        <v>596</v>
      </c>
      <c r="C99" s="15" t="s">
        <v>597</v>
      </c>
      <c r="D99" s="16"/>
      <c r="E99" s="16" t="s">
        <v>3353</v>
      </c>
      <c r="F99" s="16" t="s">
        <v>3353</v>
      </c>
      <c r="G99" s="16" t="str">
        <f>_xlfn.XLOOKUP( C99,RAW_DATA!B:B, RAW_DATA!Q:Q, "NOT FOUND" )</f>
        <v>2-s2.0-84946595461</v>
      </c>
      <c r="H99" s="1" t="b">
        <f t="shared" si="0"/>
        <v>0</v>
      </c>
      <c r="I99" s="1" t="b">
        <f t="shared" si="1"/>
        <v>0</v>
      </c>
    </row>
    <row r="100" spans="1:9" ht="15.75" customHeight="1">
      <c r="A100" s="14" t="s">
        <v>3381</v>
      </c>
      <c r="B100" s="15" t="s">
        <v>601</v>
      </c>
      <c r="C100" s="15" t="s">
        <v>602</v>
      </c>
      <c r="D100" s="16" t="s">
        <v>3359</v>
      </c>
      <c r="E100" s="16" t="s">
        <v>3352</v>
      </c>
      <c r="F100" s="16" t="s">
        <v>3352</v>
      </c>
      <c r="G100" s="16" t="str">
        <f>_xlfn.XLOOKUP( C100,RAW_DATA!B:B, RAW_DATA!Q:Q, "NOT FOUND" )</f>
        <v>2-s2.0-85129236620</v>
      </c>
      <c r="H100" s="1" t="b">
        <f t="shared" si="0"/>
        <v>0</v>
      </c>
      <c r="I100" s="1" t="b">
        <f t="shared" si="1"/>
        <v>0</v>
      </c>
    </row>
    <row r="101" spans="1:9" ht="15.75" customHeight="1">
      <c r="A101" s="14"/>
      <c r="B101" s="15" t="s">
        <v>606</v>
      </c>
      <c r="C101" s="15" t="s">
        <v>607</v>
      </c>
      <c r="D101" s="16"/>
      <c r="E101" s="16" t="s">
        <v>3352</v>
      </c>
      <c r="F101" s="16" t="s">
        <v>3353</v>
      </c>
      <c r="G101" s="16" t="str">
        <f>_xlfn.XLOOKUP( C101,RAW_DATA!B:B, RAW_DATA!Q:Q, "NOT FOUND" )</f>
        <v>2-s2.0-85042744985</v>
      </c>
      <c r="H101" s="1" t="b">
        <f t="shared" si="0"/>
        <v>0</v>
      </c>
      <c r="I101" s="1" t="b">
        <f t="shared" si="1"/>
        <v>0</v>
      </c>
    </row>
    <row r="102" spans="1:9" ht="15.75" customHeight="1">
      <c r="A102" s="14" t="s">
        <v>3382</v>
      </c>
      <c r="B102" s="15" t="s">
        <v>612</v>
      </c>
      <c r="C102" s="15" t="s">
        <v>613</v>
      </c>
      <c r="D102" s="1" t="s">
        <v>3359</v>
      </c>
      <c r="E102" s="16" t="s">
        <v>3352</v>
      </c>
      <c r="F102" s="16" t="s">
        <v>3352</v>
      </c>
      <c r="G102" s="16" t="str">
        <f>_xlfn.XLOOKUP( C102,RAW_DATA!B:B, RAW_DATA!Q:Q, "NOT FOUND" )</f>
        <v>2-s2.0-85129746503</v>
      </c>
      <c r="H102" s="1" t="b">
        <f t="shared" si="0"/>
        <v>0</v>
      </c>
      <c r="I102" s="1" t="b">
        <f t="shared" si="1"/>
        <v>0</v>
      </c>
    </row>
    <row r="103" spans="1:9" ht="15.75" customHeight="1">
      <c r="A103" s="14"/>
      <c r="B103" s="15" t="s">
        <v>617</v>
      </c>
      <c r="C103" s="15" t="s">
        <v>618</v>
      </c>
      <c r="D103" s="16"/>
      <c r="E103" s="16" t="s">
        <v>3352</v>
      </c>
      <c r="F103" s="16" t="s">
        <v>3353</v>
      </c>
      <c r="G103" s="16" t="str">
        <f>_xlfn.XLOOKUP( C103,RAW_DATA!B:B, RAW_DATA!Q:Q, "NOT FOUND" )</f>
        <v>2-s2.0-85086764045</v>
      </c>
      <c r="H103" s="1" t="b">
        <f t="shared" si="0"/>
        <v>0</v>
      </c>
      <c r="I103" s="1" t="b">
        <f t="shared" si="1"/>
        <v>0</v>
      </c>
    </row>
    <row r="104" spans="1:9" ht="15.75" customHeight="1">
      <c r="A104" s="14" t="s">
        <v>3383</v>
      </c>
      <c r="B104" s="15" t="s">
        <v>623</v>
      </c>
      <c r="C104" s="15" t="s">
        <v>624</v>
      </c>
      <c r="D104" s="16" t="s">
        <v>3355</v>
      </c>
      <c r="E104" s="16" t="s">
        <v>3352</v>
      </c>
      <c r="F104" s="16" t="s">
        <v>3352</v>
      </c>
      <c r="G104" s="16" t="str">
        <f>_xlfn.XLOOKUP( C104,RAW_DATA!B:B, RAW_DATA!Q:Q, "NOT FOUND" )</f>
        <v>2-s2.0-85046964604</v>
      </c>
      <c r="H104" s="1" t="b">
        <f t="shared" si="0"/>
        <v>0</v>
      </c>
      <c r="I104" s="1" t="b">
        <f t="shared" si="1"/>
        <v>0</v>
      </c>
    </row>
    <row r="105" spans="1:9" ht="15.75" customHeight="1">
      <c r="A105" s="14"/>
      <c r="B105" s="15" t="s">
        <v>628</v>
      </c>
      <c r="C105" s="15" t="s">
        <v>629</v>
      </c>
      <c r="D105" s="16"/>
      <c r="E105" s="16" t="s">
        <v>3352</v>
      </c>
      <c r="F105" s="16" t="s">
        <v>3353</v>
      </c>
      <c r="G105" s="16" t="str">
        <f>_xlfn.XLOOKUP( C105,RAW_DATA!B:B, RAW_DATA!Q:Q, "NOT FOUND" )</f>
        <v>2-s2.0-85026471986</v>
      </c>
      <c r="H105" s="1" t="b">
        <f t="shared" si="0"/>
        <v>0</v>
      </c>
      <c r="I105" s="1" t="b">
        <f t="shared" si="1"/>
        <v>0</v>
      </c>
    </row>
    <row r="106" spans="1:9" ht="15.75" customHeight="1">
      <c r="A106" s="14"/>
      <c r="B106" s="15" t="s">
        <v>634</v>
      </c>
      <c r="C106" s="15" t="s">
        <v>635</v>
      </c>
      <c r="D106" s="16"/>
      <c r="E106" s="16" t="s">
        <v>3353</v>
      </c>
      <c r="F106" s="16" t="s">
        <v>3353</v>
      </c>
      <c r="G106" s="16" t="str">
        <f>_xlfn.XLOOKUP( C106,RAW_DATA!B:B, RAW_DATA!Q:Q, "NOT FOUND" )</f>
        <v>2-s2.0-85052921001</v>
      </c>
      <c r="H106" s="1" t="b">
        <f t="shared" si="0"/>
        <v>0</v>
      </c>
      <c r="I106" s="1" t="b">
        <f t="shared" si="1"/>
        <v>0</v>
      </c>
    </row>
    <row r="107" spans="1:9" ht="15.75" customHeight="1">
      <c r="A107" s="14"/>
      <c r="B107" s="15" t="s">
        <v>639</v>
      </c>
      <c r="C107" s="15" t="s">
        <v>640</v>
      </c>
      <c r="D107" s="16"/>
      <c r="E107" s="16" t="s">
        <v>3353</v>
      </c>
      <c r="F107" s="16" t="s">
        <v>3353</v>
      </c>
      <c r="G107" s="16" t="str">
        <f>_xlfn.XLOOKUP( C107,RAW_DATA!B:B, RAW_DATA!Q:Q, "NOT FOUND" )</f>
        <v>2-s2.0-85100213119</v>
      </c>
      <c r="H107" s="1" t="b">
        <f t="shared" si="0"/>
        <v>0</v>
      </c>
      <c r="I107" s="1" t="b">
        <f t="shared" si="1"/>
        <v>0</v>
      </c>
    </row>
    <row r="108" spans="1:9" ht="15.75" customHeight="1">
      <c r="A108" s="14"/>
      <c r="B108" s="15" t="s">
        <v>645</v>
      </c>
      <c r="C108" s="15" t="s">
        <v>646</v>
      </c>
      <c r="D108" s="16"/>
      <c r="E108" s="16" t="s">
        <v>3352</v>
      </c>
      <c r="F108" s="16" t="s">
        <v>3353</v>
      </c>
      <c r="G108" s="16" t="str">
        <f>_xlfn.XLOOKUP( C108,RAW_DATA!B:B, RAW_DATA!Q:Q, "NOT FOUND" )</f>
        <v>2-s2.0-84966661297</v>
      </c>
      <c r="H108" s="1" t="b">
        <f t="shared" si="0"/>
        <v>0</v>
      </c>
      <c r="I108" s="1" t="b">
        <f t="shared" si="1"/>
        <v>0</v>
      </c>
    </row>
    <row r="109" spans="1:9" ht="15.75" customHeight="1">
      <c r="A109" s="14"/>
      <c r="B109" s="15" t="s">
        <v>650</v>
      </c>
      <c r="C109" s="15" t="s">
        <v>651</v>
      </c>
      <c r="D109" s="16"/>
      <c r="E109" s="16" t="s">
        <v>3352</v>
      </c>
      <c r="F109" s="16" t="s">
        <v>3353</v>
      </c>
      <c r="G109" s="16" t="str">
        <f>_xlfn.XLOOKUP( C109,RAW_DATA!B:B, RAW_DATA!Q:Q, "NOT FOUND" )</f>
        <v>2-s2.0-85127243644</v>
      </c>
      <c r="H109" s="1" t="b">
        <f t="shared" si="0"/>
        <v>0</v>
      </c>
      <c r="I109" s="1" t="b">
        <f t="shared" si="1"/>
        <v>0</v>
      </c>
    </row>
    <row r="110" spans="1:9" ht="15.75" customHeight="1">
      <c r="A110" s="14"/>
      <c r="B110" s="15" t="s">
        <v>656</v>
      </c>
      <c r="C110" s="15" t="s">
        <v>657</v>
      </c>
      <c r="D110" s="16"/>
      <c r="E110" s="16" t="s">
        <v>3352</v>
      </c>
      <c r="F110" s="16" t="s">
        <v>3353</v>
      </c>
      <c r="G110" s="16" t="str">
        <f>_xlfn.XLOOKUP( C110,RAW_DATA!B:B, RAW_DATA!Q:Q, "NOT FOUND" )</f>
        <v>2-s2.0-85046970166</v>
      </c>
      <c r="H110" s="1" t="b">
        <f t="shared" si="0"/>
        <v>0</v>
      </c>
      <c r="I110" s="1" t="b">
        <f t="shared" si="1"/>
        <v>0</v>
      </c>
    </row>
    <row r="111" spans="1:9" ht="15.75" customHeight="1">
      <c r="A111" s="14"/>
      <c r="B111" s="15" t="s">
        <v>661</v>
      </c>
      <c r="C111" s="15" t="s">
        <v>662</v>
      </c>
      <c r="D111" s="16"/>
      <c r="E111" s="16" t="s">
        <v>3352</v>
      </c>
      <c r="F111" s="16" t="s">
        <v>3353</v>
      </c>
      <c r="G111" s="16" t="str">
        <f>_xlfn.XLOOKUP( C111,RAW_DATA!B:B, RAW_DATA!Q:Q, "NOT FOUND" )</f>
        <v>2-s2.0-85016415876</v>
      </c>
      <c r="H111" s="1" t="b">
        <f t="shared" si="0"/>
        <v>0</v>
      </c>
      <c r="I111" s="1" t="b">
        <f t="shared" si="1"/>
        <v>0</v>
      </c>
    </row>
    <row r="112" spans="1:9" ht="15.75" customHeight="1">
      <c r="A112" s="14"/>
      <c r="B112" s="15" t="s">
        <v>667</v>
      </c>
      <c r="C112" s="15" t="s">
        <v>668</v>
      </c>
      <c r="D112" s="16"/>
      <c r="E112" s="16" t="s">
        <v>3352</v>
      </c>
      <c r="F112" s="16" t="s">
        <v>3353</v>
      </c>
      <c r="G112" s="16" t="str">
        <f>_xlfn.XLOOKUP( C112,RAW_DATA!B:B, RAW_DATA!Q:Q, "NOT FOUND" )</f>
        <v>2-s2.0-85065739556</v>
      </c>
      <c r="H112" s="1" t="b">
        <f t="shared" si="0"/>
        <v>0</v>
      </c>
      <c r="I112" s="1" t="b">
        <f t="shared" si="1"/>
        <v>0</v>
      </c>
    </row>
    <row r="113" spans="1:9" ht="15.75" customHeight="1">
      <c r="A113" s="14"/>
      <c r="B113" s="15" t="s">
        <v>672</v>
      </c>
      <c r="C113" s="15" t="s">
        <v>673</v>
      </c>
      <c r="D113" s="16"/>
      <c r="E113" s="16" t="s">
        <v>3353</v>
      </c>
      <c r="F113" s="16" t="s">
        <v>3353</v>
      </c>
      <c r="G113" s="16" t="str">
        <f>_xlfn.XLOOKUP( C113,RAW_DATA!B:B, RAW_DATA!Q:Q, "NOT FOUND" )</f>
        <v>2-s2.0-85091803788</v>
      </c>
      <c r="H113" s="1" t="b">
        <f t="shared" si="0"/>
        <v>0</v>
      </c>
      <c r="I113" s="1" t="b">
        <f t="shared" si="1"/>
        <v>0</v>
      </c>
    </row>
    <row r="114" spans="1:9" ht="15.75" customHeight="1">
      <c r="A114" s="14"/>
      <c r="B114" s="15" t="s">
        <v>628</v>
      </c>
      <c r="C114" s="15" t="s">
        <v>677</v>
      </c>
      <c r="D114" s="16"/>
      <c r="E114" s="16" t="s">
        <v>3353</v>
      </c>
      <c r="F114" s="16" t="s">
        <v>3353</v>
      </c>
      <c r="G114" s="16" t="str">
        <f>_xlfn.XLOOKUP( C114,RAW_DATA!B:B, RAW_DATA!Q:Q, "NOT FOUND" )</f>
        <v>2-s2.0-85011629132</v>
      </c>
      <c r="H114" s="1" t="b">
        <f t="shared" si="0"/>
        <v>0</v>
      </c>
      <c r="I114" s="1" t="b">
        <f t="shared" si="1"/>
        <v>0</v>
      </c>
    </row>
    <row r="115" spans="1:9" ht="15.75" customHeight="1">
      <c r="A115" s="14" t="s">
        <v>3384</v>
      </c>
      <c r="B115" s="15" t="s">
        <v>505</v>
      </c>
      <c r="C115" s="15" t="s">
        <v>681</v>
      </c>
      <c r="D115" s="16" t="s">
        <v>3359</v>
      </c>
      <c r="E115" s="16" t="s">
        <v>3352</v>
      </c>
      <c r="F115" s="16" t="s">
        <v>3352</v>
      </c>
      <c r="G115" s="16" t="str">
        <f>_xlfn.XLOOKUP( C115,RAW_DATA!B:B, RAW_DATA!Q:Q, "NOT FOUND" )</f>
        <v>2-s2.0-85131917975</v>
      </c>
      <c r="H115" s="1" t="b">
        <f t="shared" si="0"/>
        <v>0</v>
      </c>
      <c r="I115" s="1" t="b">
        <f t="shared" si="1"/>
        <v>0</v>
      </c>
    </row>
    <row r="116" spans="1:9" ht="15.75" customHeight="1">
      <c r="A116" s="14"/>
      <c r="B116" s="15" t="s">
        <v>685</v>
      </c>
      <c r="C116" s="15" t="s">
        <v>686</v>
      </c>
      <c r="D116" s="16"/>
      <c r="E116" s="16" t="s">
        <v>3352</v>
      </c>
      <c r="F116" s="16" t="s">
        <v>3353</v>
      </c>
      <c r="G116" s="16" t="str">
        <f>_xlfn.XLOOKUP( C116,RAW_DATA!B:B, RAW_DATA!Q:Q, "NOT FOUND" )</f>
        <v>2-s2.0-85114684669</v>
      </c>
      <c r="H116" s="1" t="b">
        <f t="shared" si="0"/>
        <v>0</v>
      </c>
      <c r="I116" s="1" t="b">
        <f t="shared" si="1"/>
        <v>0</v>
      </c>
    </row>
    <row r="117" spans="1:9" ht="15.75" customHeight="1">
      <c r="A117" s="14"/>
      <c r="B117" s="15" t="s">
        <v>691</v>
      </c>
      <c r="C117" s="15" t="s">
        <v>692</v>
      </c>
      <c r="D117" s="16"/>
      <c r="E117" s="16" t="s">
        <v>3352</v>
      </c>
      <c r="F117" s="16" t="s">
        <v>3353</v>
      </c>
      <c r="G117" s="16" t="str">
        <f>_xlfn.XLOOKUP( C117,RAW_DATA!B:B, RAW_DATA!Q:Q, "NOT FOUND" )</f>
        <v>2-s2.0-85106073891</v>
      </c>
      <c r="H117" s="1" t="b">
        <f t="shared" si="0"/>
        <v>0</v>
      </c>
      <c r="I117" s="1" t="b">
        <f t="shared" si="1"/>
        <v>0</v>
      </c>
    </row>
    <row r="118" spans="1:9" ht="15.75" customHeight="1">
      <c r="A118" s="14"/>
      <c r="B118" s="15" t="s">
        <v>696</v>
      </c>
      <c r="C118" s="15" t="s">
        <v>697</v>
      </c>
      <c r="D118" s="16"/>
      <c r="E118" s="16" t="s">
        <v>3353</v>
      </c>
      <c r="F118" s="16" t="s">
        <v>3353</v>
      </c>
      <c r="G118" s="16" t="str">
        <f>_xlfn.XLOOKUP( C118,RAW_DATA!B:B, RAW_DATA!Q:Q, "NOT FOUND" )</f>
        <v>2-s2.0-85089516696</v>
      </c>
      <c r="H118" s="1" t="b">
        <f t="shared" si="0"/>
        <v>0</v>
      </c>
      <c r="I118" s="1" t="b">
        <f t="shared" si="1"/>
        <v>0</v>
      </c>
    </row>
    <row r="119" spans="1:9" ht="15.75" customHeight="1">
      <c r="A119" s="14"/>
      <c r="B119" s="15" t="s">
        <v>701</v>
      </c>
      <c r="C119" s="15" t="s">
        <v>702</v>
      </c>
      <c r="D119" s="16"/>
      <c r="E119" s="16" t="s">
        <v>3353</v>
      </c>
      <c r="F119" s="16" t="s">
        <v>3353</v>
      </c>
      <c r="G119" s="16" t="str">
        <f>_xlfn.XLOOKUP( C119,RAW_DATA!B:B, RAW_DATA!Q:Q, "NOT FOUND" )</f>
        <v>2-s2.0-85063928915</v>
      </c>
      <c r="H119" s="1" t="b">
        <f t="shared" si="0"/>
        <v>0</v>
      </c>
      <c r="I119" s="1" t="b">
        <f t="shared" si="1"/>
        <v>0</v>
      </c>
    </row>
    <row r="120" spans="1:9" ht="15.75" customHeight="1">
      <c r="A120" s="14"/>
      <c r="B120" s="15" t="s">
        <v>707</v>
      </c>
      <c r="C120" s="15" t="s">
        <v>708</v>
      </c>
      <c r="D120" s="16"/>
      <c r="E120" s="16" t="s">
        <v>3352</v>
      </c>
      <c r="F120" s="16" t="s">
        <v>3353</v>
      </c>
      <c r="G120" s="16" t="str">
        <f>_xlfn.XLOOKUP( C120,RAW_DATA!B:B, RAW_DATA!Q:Q, "NOT FOUND" )</f>
        <v>2-s2.0-85115351559</v>
      </c>
      <c r="H120" s="1" t="b">
        <f t="shared" si="0"/>
        <v>0</v>
      </c>
      <c r="I120" s="1" t="b">
        <f t="shared" si="1"/>
        <v>0</v>
      </c>
    </row>
    <row r="121" spans="1:9" ht="15.75" customHeight="1">
      <c r="A121" s="14"/>
      <c r="B121" s="15" t="s">
        <v>713</v>
      </c>
      <c r="C121" s="15" t="s">
        <v>714</v>
      </c>
      <c r="D121" s="16"/>
      <c r="E121" s="16" t="s">
        <v>3353</v>
      </c>
      <c r="F121" s="16" t="s">
        <v>3353</v>
      </c>
      <c r="G121" s="16" t="str">
        <f>_xlfn.XLOOKUP( C121,RAW_DATA!B:B, RAW_DATA!Q:Q, "NOT FOUND" )</f>
        <v>2-s2.0-85079486546</v>
      </c>
      <c r="H121" s="1" t="b">
        <f t="shared" si="0"/>
        <v>0</v>
      </c>
      <c r="I121" s="1" t="b">
        <f t="shared" si="1"/>
        <v>0</v>
      </c>
    </row>
    <row r="122" spans="1:9" ht="15.75" customHeight="1">
      <c r="A122" s="14"/>
      <c r="B122" s="15" t="s">
        <v>719</v>
      </c>
      <c r="C122" s="15" t="s">
        <v>720</v>
      </c>
      <c r="D122" s="16"/>
      <c r="E122" s="16" t="s">
        <v>3352</v>
      </c>
      <c r="F122" s="16" t="s">
        <v>3353</v>
      </c>
      <c r="G122" s="16" t="str">
        <f>_xlfn.XLOOKUP( C122,RAW_DATA!B:B, RAW_DATA!Q:Q, "NOT FOUND" )</f>
        <v>2-s2.0-85110034669</v>
      </c>
      <c r="H122" s="1" t="b">
        <f t="shared" si="0"/>
        <v>0</v>
      </c>
      <c r="I122" s="1" t="b">
        <f t="shared" si="1"/>
        <v>0</v>
      </c>
    </row>
    <row r="123" spans="1:9" ht="15.75" customHeight="1">
      <c r="A123" s="14"/>
      <c r="B123" s="15" t="s">
        <v>725</v>
      </c>
      <c r="C123" s="15" t="s">
        <v>726</v>
      </c>
      <c r="D123" s="16"/>
      <c r="E123" s="16" t="s">
        <v>3352</v>
      </c>
      <c r="F123" s="16" t="s">
        <v>3353</v>
      </c>
      <c r="G123" s="16" t="str">
        <f>_xlfn.XLOOKUP( C123,RAW_DATA!B:B, RAW_DATA!Q:Q, "NOT FOUND" )</f>
        <v>2-s2.0-85091359065</v>
      </c>
      <c r="H123" s="1" t="b">
        <f t="shared" si="0"/>
        <v>0</v>
      </c>
      <c r="I123" s="1" t="b">
        <f t="shared" si="1"/>
        <v>0</v>
      </c>
    </row>
    <row r="124" spans="1:9" ht="15.75" customHeight="1">
      <c r="A124" s="14"/>
      <c r="B124" s="15" t="s">
        <v>731</v>
      </c>
      <c r="C124" s="15" t="s">
        <v>732</v>
      </c>
      <c r="D124" s="16"/>
      <c r="E124" s="16" t="s">
        <v>3352</v>
      </c>
      <c r="F124" s="16" t="s">
        <v>3353</v>
      </c>
      <c r="G124" s="16" t="str">
        <f>_xlfn.XLOOKUP( C124,RAW_DATA!B:B, RAW_DATA!Q:Q, "NOT FOUND" )</f>
        <v>2-s2.0-85030651422</v>
      </c>
      <c r="H124" s="1" t="b">
        <f t="shared" si="0"/>
        <v>0</v>
      </c>
      <c r="I124" s="1" t="b">
        <f t="shared" si="1"/>
        <v>0</v>
      </c>
    </row>
    <row r="125" spans="1:9" ht="15.75" customHeight="1">
      <c r="A125" s="14"/>
      <c r="B125" s="15" t="s">
        <v>736</v>
      </c>
      <c r="C125" s="15" t="s">
        <v>737</v>
      </c>
      <c r="D125" s="16"/>
      <c r="E125" s="16" t="s">
        <v>3353</v>
      </c>
      <c r="F125" s="16" t="s">
        <v>3353</v>
      </c>
      <c r="G125" s="16" t="str">
        <f>_xlfn.XLOOKUP( C125,RAW_DATA!B:B, RAW_DATA!Q:Q, "NOT FOUND" )</f>
        <v>2-s2.0-85030671275</v>
      </c>
      <c r="H125" s="1" t="b">
        <f t="shared" si="0"/>
        <v>0</v>
      </c>
      <c r="I125" s="1" t="b">
        <f t="shared" si="1"/>
        <v>0</v>
      </c>
    </row>
    <row r="126" spans="1:9" ht="15.75" customHeight="1">
      <c r="A126" s="14"/>
      <c r="B126" s="15" t="s">
        <v>742</v>
      </c>
      <c r="C126" s="15" t="s">
        <v>743</v>
      </c>
      <c r="D126" s="16"/>
      <c r="E126" s="16" t="s">
        <v>3352</v>
      </c>
      <c r="F126" s="16" t="s">
        <v>3353</v>
      </c>
      <c r="G126" s="16" t="str">
        <f>_xlfn.XLOOKUP( C126,RAW_DATA!B:B, RAW_DATA!Q:Q, "NOT FOUND" )</f>
        <v>2-s2.0-85178959243</v>
      </c>
      <c r="H126" s="1" t="b">
        <f t="shared" si="0"/>
        <v>0</v>
      </c>
      <c r="I126" s="1" t="b">
        <f t="shared" si="1"/>
        <v>0</v>
      </c>
    </row>
    <row r="127" spans="1:9" ht="15.75" customHeight="1">
      <c r="A127" s="14"/>
      <c r="B127" s="15" t="s">
        <v>752</v>
      </c>
      <c r="C127" s="15" t="s">
        <v>753</v>
      </c>
      <c r="D127" s="16"/>
      <c r="E127" s="16" t="s">
        <v>3352</v>
      </c>
      <c r="F127" s="16" t="s">
        <v>3353</v>
      </c>
      <c r="G127" s="16" t="str">
        <f>_xlfn.XLOOKUP( C127,RAW_DATA!B:B, RAW_DATA!Q:Q, "NOT FOUND" )</f>
        <v>2-s2.0-85102861561</v>
      </c>
      <c r="H127" s="1" t="b">
        <f t="shared" si="0"/>
        <v>0</v>
      </c>
      <c r="I127" s="1" t="b">
        <f t="shared" si="1"/>
        <v>0</v>
      </c>
    </row>
    <row r="128" spans="1:9" ht="15.75" customHeight="1">
      <c r="A128" s="14"/>
      <c r="B128" s="15" t="s">
        <v>758</v>
      </c>
      <c r="C128" s="15" t="s">
        <v>759</v>
      </c>
      <c r="D128" s="16"/>
      <c r="E128" s="16" t="s">
        <v>3352</v>
      </c>
      <c r="F128" s="16" t="s">
        <v>3353</v>
      </c>
      <c r="G128" s="16" t="str">
        <f>_xlfn.XLOOKUP( C128,RAW_DATA!B:B, RAW_DATA!Q:Q, "NOT FOUND" )</f>
        <v>2-s2.0-84962541336</v>
      </c>
      <c r="H128" s="1" t="b">
        <f t="shared" si="0"/>
        <v>0</v>
      </c>
      <c r="I128" s="1" t="b">
        <f t="shared" si="1"/>
        <v>0</v>
      </c>
    </row>
    <row r="129" spans="1:9" ht="15.75" customHeight="1">
      <c r="A129" s="14"/>
      <c r="B129" s="15" t="s">
        <v>764</v>
      </c>
      <c r="C129" s="15" t="s">
        <v>765</v>
      </c>
      <c r="D129" s="16"/>
      <c r="E129" s="16" t="s">
        <v>3353</v>
      </c>
      <c r="F129" s="16" t="s">
        <v>3353</v>
      </c>
      <c r="G129" s="16" t="str">
        <f>_xlfn.XLOOKUP( C129,RAW_DATA!B:B, RAW_DATA!Q:Q, "NOT FOUND" )</f>
        <v>2-s2.0-85107494797</v>
      </c>
      <c r="H129" s="1" t="b">
        <f t="shared" si="0"/>
        <v>0</v>
      </c>
      <c r="I129" s="1" t="b">
        <f t="shared" si="1"/>
        <v>0</v>
      </c>
    </row>
    <row r="130" spans="1:9" ht="15.75" customHeight="1">
      <c r="A130" s="14"/>
      <c r="B130" s="15" t="s">
        <v>770</v>
      </c>
      <c r="C130" s="15" t="s">
        <v>771</v>
      </c>
      <c r="D130" s="16"/>
      <c r="E130" s="16" t="s">
        <v>3353</v>
      </c>
      <c r="F130" s="16" t="s">
        <v>3353</v>
      </c>
      <c r="G130" s="16" t="str">
        <f>_xlfn.XLOOKUP( C130,RAW_DATA!B:B, RAW_DATA!Q:Q, "NOT FOUND" )</f>
        <v>2-s2.0-85094326890</v>
      </c>
      <c r="H130" s="1" t="b">
        <f t="shared" si="0"/>
        <v>0</v>
      </c>
      <c r="I130" s="1" t="b">
        <f t="shared" si="1"/>
        <v>0</v>
      </c>
    </row>
    <row r="131" spans="1:9" ht="15.75" customHeight="1">
      <c r="A131" s="14"/>
      <c r="B131" s="15" t="s">
        <v>775</v>
      </c>
      <c r="C131" s="15" t="s">
        <v>776</v>
      </c>
      <c r="D131" s="16"/>
      <c r="E131" s="16" t="s">
        <v>3352</v>
      </c>
      <c r="F131" s="16" t="s">
        <v>3353</v>
      </c>
      <c r="G131" s="16" t="str">
        <f>_xlfn.XLOOKUP( C131,RAW_DATA!B:B, RAW_DATA!Q:Q, "NOT FOUND" )</f>
        <v>2-s2.0-85062465042</v>
      </c>
      <c r="H131" s="1" t="b">
        <f t="shared" si="0"/>
        <v>0</v>
      </c>
      <c r="I131" s="1" t="b">
        <f t="shared" si="1"/>
        <v>0</v>
      </c>
    </row>
    <row r="132" spans="1:9" ht="15.75" customHeight="1">
      <c r="A132" s="14"/>
      <c r="B132" s="15" t="s">
        <v>780</v>
      </c>
      <c r="C132" s="15" t="s">
        <v>781</v>
      </c>
      <c r="D132" s="16"/>
      <c r="E132" s="16" t="s">
        <v>3352</v>
      </c>
      <c r="F132" s="16" t="s">
        <v>3353</v>
      </c>
      <c r="G132" s="16" t="str">
        <f>_xlfn.XLOOKUP( C132,RAW_DATA!B:B, RAW_DATA!Q:Q, "NOT FOUND" )</f>
        <v>2-s2.0-85014842168</v>
      </c>
      <c r="H132" s="1" t="b">
        <f t="shared" si="0"/>
        <v>0</v>
      </c>
      <c r="I132" s="1" t="b">
        <f t="shared" si="1"/>
        <v>0</v>
      </c>
    </row>
    <row r="133" spans="1:9" ht="15.75" customHeight="1">
      <c r="A133" s="14"/>
      <c r="B133" s="15" t="s">
        <v>786</v>
      </c>
      <c r="C133" s="15" t="s">
        <v>787</v>
      </c>
      <c r="D133" s="16"/>
      <c r="E133" s="16" t="s">
        <v>3352</v>
      </c>
      <c r="F133" s="16" t="s">
        <v>3353</v>
      </c>
      <c r="G133" s="16" t="str">
        <f>_xlfn.XLOOKUP( C133,RAW_DATA!B:B, RAW_DATA!Q:Q, "NOT FOUND" )</f>
        <v>2-s2.0-85065881224</v>
      </c>
      <c r="H133" s="1" t="b">
        <f t="shared" si="0"/>
        <v>0</v>
      </c>
      <c r="I133" s="1" t="b">
        <f t="shared" si="1"/>
        <v>0</v>
      </c>
    </row>
    <row r="134" spans="1:9" ht="15.75" customHeight="1">
      <c r="A134" s="14"/>
      <c r="B134" s="15" t="s">
        <v>792</v>
      </c>
      <c r="C134" s="15" t="s">
        <v>793</v>
      </c>
      <c r="D134" s="16"/>
      <c r="E134" s="16" t="s">
        <v>3353</v>
      </c>
      <c r="F134" s="16" t="s">
        <v>3353</v>
      </c>
      <c r="G134" s="16" t="str">
        <f>_xlfn.XLOOKUP( C134,RAW_DATA!B:B, RAW_DATA!Q:Q, "NOT FOUND" )</f>
        <v>2-s2.0-85082003650</v>
      </c>
      <c r="H134" s="1" t="b">
        <f t="shared" si="0"/>
        <v>0</v>
      </c>
      <c r="I134" s="1" t="b">
        <f t="shared" si="1"/>
        <v>0</v>
      </c>
    </row>
    <row r="135" spans="1:9" ht="15.75" customHeight="1">
      <c r="A135" s="14" t="s">
        <v>3385</v>
      </c>
      <c r="B135" s="15" t="s">
        <v>797</v>
      </c>
      <c r="C135" s="15" t="s">
        <v>798</v>
      </c>
      <c r="D135" s="16" t="s">
        <v>3355</v>
      </c>
      <c r="E135" s="16" t="s">
        <v>3352</v>
      </c>
      <c r="F135" s="16" t="s">
        <v>3352</v>
      </c>
      <c r="G135" s="16" t="str">
        <f>_xlfn.XLOOKUP( C135,RAW_DATA!B:B, RAW_DATA!Q:Q, "NOT FOUND" )</f>
        <v>2-s2.0-85044997209</v>
      </c>
      <c r="H135" s="1" t="b">
        <f t="shared" si="0"/>
        <v>0</v>
      </c>
      <c r="I135" s="1" t="b">
        <f t="shared" si="1"/>
        <v>0</v>
      </c>
    </row>
    <row r="136" spans="1:9" ht="15.75" customHeight="1">
      <c r="A136" s="14"/>
      <c r="B136" s="15" t="s">
        <v>803</v>
      </c>
      <c r="C136" s="15" t="s">
        <v>804</v>
      </c>
      <c r="D136" s="16"/>
      <c r="E136" s="16" t="s">
        <v>3352</v>
      </c>
      <c r="F136" s="16" t="s">
        <v>3353</v>
      </c>
      <c r="G136" s="16" t="str">
        <f>_xlfn.XLOOKUP( C136,RAW_DATA!B:B, RAW_DATA!Q:Q, "NOT FOUND" )</f>
        <v>2-s2.0-84962858665</v>
      </c>
      <c r="H136" s="1" t="b">
        <f t="shared" si="0"/>
        <v>0</v>
      </c>
      <c r="I136" s="1" t="b">
        <f t="shared" si="1"/>
        <v>0</v>
      </c>
    </row>
    <row r="137" spans="1:9" ht="15.75" customHeight="1">
      <c r="A137" s="14"/>
      <c r="B137" s="15" t="s">
        <v>808</v>
      </c>
      <c r="C137" s="15" t="s">
        <v>809</v>
      </c>
      <c r="D137" s="16"/>
      <c r="E137" s="16" t="s">
        <v>3353</v>
      </c>
      <c r="F137" s="16" t="s">
        <v>3353</v>
      </c>
      <c r="G137" s="16" t="str">
        <f>_xlfn.XLOOKUP( C137,RAW_DATA!B:B, RAW_DATA!Q:Q, "NOT FOUND" )</f>
        <v>2-s2.0-85016430011</v>
      </c>
      <c r="H137" s="1" t="b">
        <f t="shared" si="0"/>
        <v>0</v>
      </c>
      <c r="I137" s="1" t="b">
        <f t="shared" si="1"/>
        <v>0</v>
      </c>
    </row>
    <row r="138" spans="1:9" ht="15.75" customHeight="1">
      <c r="A138" s="14"/>
      <c r="B138" s="15" t="s">
        <v>814</v>
      </c>
      <c r="C138" s="15" t="s">
        <v>815</v>
      </c>
      <c r="D138" s="16"/>
      <c r="E138" s="16" t="s">
        <v>3352</v>
      </c>
      <c r="F138" s="16" t="s">
        <v>3353</v>
      </c>
      <c r="G138" s="16" t="str">
        <f>_xlfn.XLOOKUP( C138,RAW_DATA!B:B, RAW_DATA!Q:Q, "NOT FOUND" )</f>
        <v>2-s2.0-85144228755</v>
      </c>
      <c r="H138" s="1" t="b">
        <f t="shared" si="0"/>
        <v>0</v>
      </c>
      <c r="I138" s="1" t="b">
        <f t="shared" si="1"/>
        <v>0</v>
      </c>
    </row>
    <row r="139" spans="1:9" ht="15.75" customHeight="1">
      <c r="A139" s="14"/>
      <c r="B139" s="15" t="s">
        <v>819</v>
      </c>
      <c r="C139" s="15" t="s">
        <v>820</v>
      </c>
      <c r="D139" s="16"/>
      <c r="E139" s="16" t="s">
        <v>3353</v>
      </c>
      <c r="F139" s="16" t="s">
        <v>3353</v>
      </c>
      <c r="G139" s="16" t="str">
        <f>_xlfn.XLOOKUP( C139,RAW_DATA!B:B, RAW_DATA!Q:Q, "NOT FOUND" )</f>
        <v>2-s2.0-85073998760</v>
      </c>
      <c r="H139" s="1" t="b">
        <f t="shared" si="0"/>
        <v>0</v>
      </c>
      <c r="I139" s="1" t="b">
        <f t="shared" si="1"/>
        <v>0</v>
      </c>
    </row>
    <row r="140" spans="1:9" ht="15.75" customHeight="1">
      <c r="A140" s="14"/>
      <c r="B140" s="15" t="s">
        <v>825</v>
      </c>
      <c r="C140" s="15" t="s">
        <v>826</v>
      </c>
      <c r="D140" s="16"/>
      <c r="E140" s="16" t="s">
        <v>3352</v>
      </c>
      <c r="F140" s="16" t="s">
        <v>3353</v>
      </c>
      <c r="G140" s="16" t="str">
        <f>_xlfn.XLOOKUP( C140,RAW_DATA!B:B, RAW_DATA!Q:Q, "NOT FOUND" )</f>
        <v>2-s2.0-85163080117</v>
      </c>
      <c r="H140" s="1" t="b">
        <f t="shared" si="0"/>
        <v>0</v>
      </c>
      <c r="I140" s="1" t="b">
        <f t="shared" si="1"/>
        <v>0</v>
      </c>
    </row>
    <row r="141" spans="1:9" ht="15.75" customHeight="1">
      <c r="A141" s="14"/>
      <c r="B141" s="15" t="s">
        <v>830</v>
      </c>
      <c r="C141" s="15" t="s">
        <v>831</v>
      </c>
      <c r="D141" s="16"/>
      <c r="E141" s="16" t="s">
        <v>3353</v>
      </c>
      <c r="F141" s="16" t="s">
        <v>3353</v>
      </c>
      <c r="G141" s="16" t="str">
        <f>_xlfn.XLOOKUP( C141,RAW_DATA!B:B, RAW_DATA!Q:Q, "NOT FOUND" )</f>
        <v>2-s2.0-85075059554</v>
      </c>
      <c r="H141" s="1" t="b">
        <f t="shared" si="0"/>
        <v>0</v>
      </c>
      <c r="I141" s="1" t="b">
        <f t="shared" si="1"/>
        <v>0</v>
      </c>
    </row>
    <row r="142" spans="1:9" ht="15.75" customHeight="1">
      <c r="A142" s="14"/>
      <c r="B142" s="15" t="s">
        <v>836</v>
      </c>
      <c r="C142" s="15" t="s">
        <v>837</v>
      </c>
      <c r="D142" s="16"/>
      <c r="E142" s="16" t="s">
        <v>3353</v>
      </c>
      <c r="F142" s="16" t="s">
        <v>3353</v>
      </c>
      <c r="G142" s="16" t="str">
        <f>_xlfn.XLOOKUP( C142,RAW_DATA!B:B, RAW_DATA!Q:Q, "NOT FOUND" )</f>
        <v>2-s2.0-85147841363</v>
      </c>
      <c r="H142" s="1" t="b">
        <f t="shared" si="0"/>
        <v>0</v>
      </c>
      <c r="I142" s="1" t="b">
        <f t="shared" si="1"/>
        <v>0</v>
      </c>
    </row>
    <row r="143" spans="1:9" ht="15.75" customHeight="1">
      <c r="A143" s="14"/>
      <c r="B143" s="15" t="s">
        <v>842</v>
      </c>
      <c r="C143" s="15" t="s">
        <v>843</v>
      </c>
      <c r="D143" s="16"/>
      <c r="E143" s="16" t="s">
        <v>3353</v>
      </c>
      <c r="F143" s="16" t="s">
        <v>3353</v>
      </c>
      <c r="G143" s="16" t="str">
        <f>_xlfn.XLOOKUP( C143,RAW_DATA!B:B, RAW_DATA!Q:Q, "NOT FOUND" )</f>
        <v>2-s2.0-85094857427</v>
      </c>
      <c r="H143" s="1" t="b">
        <f t="shared" si="0"/>
        <v>0</v>
      </c>
      <c r="I143" s="1" t="b">
        <f t="shared" si="1"/>
        <v>0</v>
      </c>
    </row>
    <row r="144" spans="1:9" ht="15.75" customHeight="1">
      <c r="A144" s="14"/>
      <c r="B144" s="15" t="s">
        <v>848</v>
      </c>
      <c r="C144" s="15" t="s">
        <v>849</v>
      </c>
      <c r="D144" s="16"/>
      <c r="E144" s="16" t="s">
        <v>3353</v>
      </c>
      <c r="F144" s="16" t="s">
        <v>3353</v>
      </c>
      <c r="G144" s="16" t="str">
        <f>_xlfn.XLOOKUP( C144,RAW_DATA!B:B, RAW_DATA!Q:Q, "NOT FOUND" )</f>
        <v>2-s2.0-85138517376</v>
      </c>
      <c r="H144" s="1" t="b">
        <f t="shared" si="0"/>
        <v>0</v>
      </c>
      <c r="I144" s="1" t="b">
        <f t="shared" si="1"/>
        <v>0</v>
      </c>
    </row>
    <row r="145" spans="1:9" ht="15.75" customHeight="1">
      <c r="A145" s="14"/>
      <c r="B145" s="15" t="s">
        <v>854</v>
      </c>
      <c r="C145" s="15" t="s">
        <v>855</v>
      </c>
      <c r="D145" s="16"/>
      <c r="E145" s="16" t="s">
        <v>3352</v>
      </c>
      <c r="F145" s="16" t="s">
        <v>3353</v>
      </c>
      <c r="G145" s="16" t="str">
        <f>_xlfn.XLOOKUP( C145,RAW_DATA!B:B, RAW_DATA!Q:Q, "NOT FOUND" )</f>
        <v>2-s2.0-85118982145</v>
      </c>
      <c r="H145" s="1" t="b">
        <f t="shared" si="0"/>
        <v>0</v>
      </c>
      <c r="I145" s="1" t="b">
        <f t="shared" si="1"/>
        <v>0</v>
      </c>
    </row>
    <row r="146" spans="1:9" ht="15.75" customHeight="1">
      <c r="A146" s="14"/>
      <c r="B146" s="15" t="s">
        <v>866</v>
      </c>
      <c r="C146" s="15" t="s">
        <v>867</v>
      </c>
      <c r="D146" s="16"/>
      <c r="E146" s="16" t="s">
        <v>3353</v>
      </c>
      <c r="F146" s="16" t="s">
        <v>3353</v>
      </c>
      <c r="G146" s="16" t="str">
        <f>_xlfn.XLOOKUP( C146,RAW_DATA!B:B, RAW_DATA!Q:Q, "NOT FOUND" )</f>
        <v>2-s2.0-85139251634</v>
      </c>
      <c r="H146" s="1" t="b">
        <f t="shared" si="0"/>
        <v>0</v>
      </c>
      <c r="I146" s="1" t="b">
        <f t="shared" si="1"/>
        <v>0</v>
      </c>
    </row>
    <row r="147" spans="1:9" ht="15.75" customHeight="1">
      <c r="A147" s="14"/>
      <c r="B147" s="15" t="s">
        <v>871</v>
      </c>
      <c r="C147" s="15" t="s">
        <v>872</v>
      </c>
      <c r="D147" s="16"/>
      <c r="E147" s="16" t="s">
        <v>3353</v>
      </c>
      <c r="F147" s="16" t="s">
        <v>3353</v>
      </c>
      <c r="G147" s="16" t="str">
        <f>_xlfn.XLOOKUP( C147,RAW_DATA!B:B, RAW_DATA!Q:Q, "NOT FOUND" )</f>
        <v>2-s2.0-85071255877</v>
      </c>
      <c r="H147" s="1" t="b">
        <f t="shared" si="0"/>
        <v>0</v>
      </c>
      <c r="I147" s="1" t="b">
        <f t="shared" si="1"/>
        <v>0</v>
      </c>
    </row>
    <row r="148" spans="1:9" ht="15.75" customHeight="1">
      <c r="A148" s="14" t="s">
        <v>3386</v>
      </c>
      <c r="B148" s="15" t="s">
        <v>877</v>
      </c>
      <c r="C148" s="15" t="s">
        <v>878</v>
      </c>
      <c r="D148" s="16" t="s">
        <v>3359</v>
      </c>
      <c r="E148" s="16" t="s">
        <v>3352</v>
      </c>
      <c r="F148" s="16" t="s">
        <v>3352</v>
      </c>
      <c r="G148" s="16" t="str">
        <f>_xlfn.XLOOKUP( C148,RAW_DATA!B:B, RAW_DATA!Q:Q, "NOT FOUND" )</f>
        <v>2-s2.0-85187535614</v>
      </c>
      <c r="H148" s="1" t="b">
        <f t="shared" si="0"/>
        <v>0</v>
      </c>
      <c r="I148" s="1" t="b">
        <f t="shared" si="1"/>
        <v>0</v>
      </c>
    </row>
    <row r="149" spans="1:9" ht="15.75" customHeight="1">
      <c r="A149" s="14"/>
      <c r="B149" s="15" t="s">
        <v>883</v>
      </c>
      <c r="C149" s="15" t="s">
        <v>884</v>
      </c>
      <c r="D149" s="16"/>
      <c r="E149" s="16" t="s">
        <v>3352</v>
      </c>
      <c r="F149" s="16" t="s">
        <v>3353</v>
      </c>
      <c r="G149" s="16" t="str">
        <f>_xlfn.XLOOKUP( C149,RAW_DATA!B:B, RAW_DATA!Q:Q, "NOT FOUND" )</f>
        <v>2-s2.0-85058858946</v>
      </c>
      <c r="H149" s="1" t="b">
        <f t="shared" si="0"/>
        <v>0</v>
      </c>
      <c r="I149" s="1" t="b">
        <f t="shared" si="1"/>
        <v>0</v>
      </c>
    </row>
    <row r="150" spans="1:9" ht="15.75" customHeight="1">
      <c r="A150" s="14"/>
      <c r="B150" s="15" t="s">
        <v>889</v>
      </c>
      <c r="C150" s="15" t="s">
        <v>890</v>
      </c>
      <c r="D150" s="16"/>
      <c r="E150" s="16" t="s">
        <v>3353</v>
      </c>
      <c r="F150" s="16" t="s">
        <v>3353</v>
      </c>
      <c r="G150" s="16" t="str">
        <f>_xlfn.XLOOKUP( C150,RAW_DATA!B:B, RAW_DATA!Q:Q, "NOT FOUND" )</f>
        <v>2-s2.0-85093652894</v>
      </c>
      <c r="H150" s="1" t="b">
        <f t="shared" si="0"/>
        <v>0</v>
      </c>
      <c r="I150" s="1" t="b">
        <f t="shared" si="1"/>
        <v>0</v>
      </c>
    </row>
    <row r="151" spans="1:9" ht="15.75" customHeight="1">
      <c r="A151" s="14"/>
      <c r="B151" s="15" t="s">
        <v>894</v>
      </c>
      <c r="C151" s="15" t="s">
        <v>895</v>
      </c>
      <c r="D151" s="16"/>
      <c r="E151" s="16" t="s">
        <v>3352</v>
      </c>
      <c r="F151" s="16" t="s">
        <v>3353</v>
      </c>
      <c r="G151" s="16" t="str">
        <f>_xlfn.XLOOKUP( C151,RAW_DATA!B:B, RAW_DATA!Q:Q, "NOT FOUND" )</f>
        <v>2-s2.0-85013156417</v>
      </c>
      <c r="H151" s="1" t="b">
        <f t="shared" si="0"/>
        <v>0</v>
      </c>
      <c r="I151" s="1" t="b">
        <f t="shared" si="1"/>
        <v>0</v>
      </c>
    </row>
    <row r="152" spans="1:9" ht="15.75" customHeight="1">
      <c r="A152" s="14"/>
      <c r="B152" s="15" t="s">
        <v>900</v>
      </c>
      <c r="C152" s="15" t="s">
        <v>901</v>
      </c>
      <c r="D152" s="16"/>
      <c r="E152" s="16" t="s">
        <v>3353</v>
      </c>
      <c r="F152" s="16" t="s">
        <v>3353</v>
      </c>
      <c r="G152" s="16" t="str">
        <f>_xlfn.XLOOKUP( C152,RAW_DATA!B:B, RAW_DATA!Q:Q, "NOT FOUND" )</f>
        <v>2-s2.0-84961855491</v>
      </c>
      <c r="H152" s="1" t="b">
        <f t="shared" si="0"/>
        <v>0</v>
      </c>
      <c r="I152" s="1" t="b">
        <f t="shared" si="1"/>
        <v>0</v>
      </c>
    </row>
    <row r="153" spans="1:9" ht="15.75" customHeight="1">
      <c r="A153" s="14"/>
      <c r="B153" s="15" t="s">
        <v>905</v>
      </c>
      <c r="C153" s="15" t="s">
        <v>906</v>
      </c>
      <c r="D153" s="16" t="s">
        <v>3351</v>
      </c>
      <c r="E153" s="16" t="s">
        <v>3352</v>
      </c>
      <c r="F153" s="16" t="s">
        <v>3353</v>
      </c>
      <c r="G153" s="16" t="str">
        <f>_xlfn.XLOOKUP( C153,RAW_DATA!B:B, RAW_DATA!Q:Q, "NOT FOUND" )</f>
        <v>2-s2.0-85097186283</v>
      </c>
      <c r="H153" s="1" t="b">
        <f t="shared" si="0"/>
        <v>0</v>
      </c>
      <c r="I153" s="1" t="b">
        <f t="shared" si="1"/>
        <v>0</v>
      </c>
    </row>
    <row r="154" spans="1:9" ht="15.75" customHeight="1">
      <c r="A154" s="14"/>
      <c r="B154" s="15" t="s">
        <v>910</v>
      </c>
      <c r="C154" s="15" t="s">
        <v>911</v>
      </c>
      <c r="D154" s="16"/>
      <c r="E154" s="16" t="s">
        <v>3353</v>
      </c>
      <c r="F154" s="16" t="s">
        <v>3353</v>
      </c>
      <c r="G154" s="16" t="str">
        <f>_xlfn.XLOOKUP( C154,RAW_DATA!B:B, RAW_DATA!Q:Q, "NOT FOUND" )</f>
        <v>2-s2.0-84962920800</v>
      </c>
      <c r="H154" s="1" t="b">
        <f t="shared" si="0"/>
        <v>0</v>
      </c>
      <c r="I154" s="1" t="b">
        <f t="shared" si="1"/>
        <v>0</v>
      </c>
    </row>
    <row r="155" spans="1:9" ht="15.75" customHeight="1">
      <c r="A155" s="14"/>
      <c r="B155" s="15" t="s">
        <v>915</v>
      </c>
      <c r="C155" s="15" t="s">
        <v>916</v>
      </c>
      <c r="D155" s="16"/>
      <c r="E155" s="16" t="s">
        <v>3353</v>
      </c>
      <c r="F155" s="16" t="s">
        <v>3353</v>
      </c>
      <c r="G155" s="16" t="str">
        <f>_xlfn.XLOOKUP( C155,RAW_DATA!B:B, RAW_DATA!Q:Q, "NOT FOUND" )</f>
        <v>2-s2.0-85099555347</v>
      </c>
      <c r="H155" s="1" t="b">
        <f t="shared" si="0"/>
        <v>0</v>
      </c>
      <c r="I155" s="1" t="b">
        <f t="shared" si="1"/>
        <v>0</v>
      </c>
    </row>
    <row r="156" spans="1:9" ht="15.75" customHeight="1">
      <c r="A156" s="14"/>
      <c r="B156" s="15" t="s">
        <v>920</v>
      </c>
      <c r="C156" s="15" t="s">
        <v>921</v>
      </c>
      <c r="D156" s="16"/>
      <c r="E156" s="16" t="s">
        <v>3352</v>
      </c>
      <c r="F156" s="16" t="s">
        <v>3353</v>
      </c>
      <c r="G156" s="16" t="str">
        <f>_xlfn.XLOOKUP( C156,RAW_DATA!B:B, RAW_DATA!Q:Q, "NOT FOUND" )</f>
        <v>2-s2.0-85067611223</v>
      </c>
      <c r="H156" s="1" t="b">
        <f t="shared" si="0"/>
        <v>0</v>
      </c>
      <c r="I156" s="1" t="b">
        <f t="shared" si="1"/>
        <v>0</v>
      </c>
    </row>
    <row r="157" spans="1:9" ht="15.75" customHeight="1">
      <c r="A157" s="1" t="s">
        <v>3387</v>
      </c>
      <c r="B157" s="15" t="s">
        <v>925</v>
      </c>
      <c r="C157" s="15" t="s">
        <v>926</v>
      </c>
      <c r="D157" s="16" t="s">
        <v>3355</v>
      </c>
      <c r="E157" s="16" t="s">
        <v>3352</v>
      </c>
      <c r="F157" s="16" t="s">
        <v>3352</v>
      </c>
      <c r="G157" s="16" t="str">
        <f>_xlfn.XLOOKUP( C157,RAW_DATA!B:B, RAW_DATA!Q:Q, "NOT FOUND" )</f>
        <v>2-s2.0-85164007483</v>
      </c>
      <c r="H157" s="1" t="b">
        <f t="shared" si="0"/>
        <v>0</v>
      </c>
      <c r="I157" s="1" t="b">
        <f t="shared" si="1"/>
        <v>0</v>
      </c>
    </row>
    <row r="158" spans="1:9" ht="15.75" customHeight="1">
      <c r="A158" s="14"/>
      <c r="B158" s="15" t="s">
        <v>931</v>
      </c>
      <c r="C158" s="15" t="s">
        <v>932</v>
      </c>
      <c r="D158" s="16"/>
      <c r="E158" s="16" t="s">
        <v>3352</v>
      </c>
      <c r="F158" s="16" t="s">
        <v>3353</v>
      </c>
      <c r="G158" s="16" t="str">
        <f>_xlfn.XLOOKUP( C158,RAW_DATA!B:B, RAW_DATA!Q:Q, "NOT FOUND" )</f>
        <v>2-s2.0-85065575776</v>
      </c>
      <c r="H158" s="1" t="b">
        <f t="shared" si="0"/>
        <v>0</v>
      </c>
      <c r="I158" s="1" t="b">
        <f t="shared" si="1"/>
        <v>0</v>
      </c>
    </row>
    <row r="159" spans="1:9" ht="15.75" customHeight="1">
      <c r="A159" s="14"/>
      <c r="B159" s="15" t="s">
        <v>936</v>
      </c>
      <c r="C159" s="15" t="s">
        <v>937</v>
      </c>
      <c r="D159" s="16"/>
      <c r="E159" s="16" t="s">
        <v>3353</v>
      </c>
      <c r="F159" s="16" t="s">
        <v>3353</v>
      </c>
      <c r="G159" s="16" t="str">
        <f>_xlfn.XLOOKUP( C159,RAW_DATA!B:B, RAW_DATA!Q:Q, "NOT FOUND" )</f>
        <v>2-s2.0-85105599703</v>
      </c>
      <c r="H159" s="1" t="b">
        <f t="shared" si="0"/>
        <v>0</v>
      </c>
      <c r="I159" s="1" t="b">
        <f t="shared" si="1"/>
        <v>0</v>
      </c>
    </row>
    <row r="160" spans="1:9" ht="15.75" customHeight="1">
      <c r="A160" s="14"/>
      <c r="B160" s="15" t="s">
        <v>942</v>
      </c>
      <c r="C160" s="15" t="s">
        <v>943</v>
      </c>
      <c r="D160" s="16" t="s">
        <v>3351</v>
      </c>
      <c r="E160" s="16" t="s">
        <v>3352</v>
      </c>
      <c r="F160" s="16" t="s">
        <v>3353</v>
      </c>
      <c r="G160" s="16" t="str">
        <f>_xlfn.XLOOKUP( C160,RAW_DATA!B:B, RAW_DATA!Q:Q, "NOT FOUND" )</f>
        <v>2-s2.0-84986260158</v>
      </c>
      <c r="H160" s="1" t="b">
        <f t="shared" si="0"/>
        <v>0</v>
      </c>
      <c r="I160" s="1" t="b">
        <f t="shared" si="1"/>
        <v>0</v>
      </c>
    </row>
    <row r="161" spans="1:9" ht="15.75" customHeight="1">
      <c r="A161" s="14"/>
      <c r="B161" s="15" t="s">
        <v>948</v>
      </c>
      <c r="C161" s="15" t="s">
        <v>949</v>
      </c>
      <c r="D161" s="16"/>
      <c r="E161" s="16" t="s">
        <v>3353</v>
      </c>
      <c r="F161" s="16" t="s">
        <v>3353</v>
      </c>
      <c r="G161" s="16" t="str">
        <f>_xlfn.XLOOKUP( C161,RAW_DATA!B:B, RAW_DATA!Q:Q, "NOT FOUND" )</f>
        <v>2-s2.0-85165321235</v>
      </c>
      <c r="H161" s="1" t="b">
        <f t="shared" si="0"/>
        <v>0</v>
      </c>
      <c r="I161" s="1" t="b">
        <f t="shared" si="1"/>
        <v>0</v>
      </c>
    </row>
    <row r="162" spans="1:9" ht="15.75" customHeight="1">
      <c r="A162" s="14"/>
      <c r="B162" s="15" t="s">
        <v>953</v>
      </c>
      <c r="C162" s="15" t="s">
        <v>954</v>
      </c>
      <c r="D162" s="16"/>
      <c r="E162" s="16" t="s">
        <v>3352</v>
      </c>
      <c r="F162" s="16" t="s">
        <v>3353</v>
      </c>
      <c r="G162" s="16" t="str">
        <f>_xlfn.XLOOKUP( C162,RAW_DATA!B:B, RAW_DATA!Q:Q, "NOT FOUND" )</f>
        <v>2-s2.0-85136123594</v>
      </c>
      <c r="H162" s="1" t="b">
        <f t="shared" si="0"/>
        <v>0</v>
      </c>
      <c r="I162" s="1" t="b">
        <f t="shared" si="1"/>
        <v>0</v>
      </c>
    </row>
    <row r="163" spans="1:9" ht="15.75" customHeight="1">
      <c r="A163" s="14"/>
      <c r="B163" s="15" t="s">
        <v>959</v>
      </c>
      <c r="C163" s="15" t="s">
        <v>960</v>
      </c>
      <c r="D163" s="16"/>
      <c r="E163" s="16" t="s">
        <v>3353</v>
      </c>
      <c r="F163" s="16" t="s">
        <v>3353</v>
      </c>
      <c r="G163" s="16" t="str">
        <f>_xlfn.XLOOKUP( C163,RAW_DATA!B:B, RAW_DATA!Q:Q, "NOT FOUND" )</f>
        <v>2-s2.0-85092897866</v>
      </c>
      <c r="H163" s="1" t="b">
        <f t="shared" si="0"/>
        <v>0</v>
      </c>
      <c r="I163" s="1" t="b">
        <f t="shared" si="1"/>
        <v>0</v>
      </c>
    </row>
    <row r="164" spans="1:9" ht="15.75" customHeight="1">
      <c r="A164" s="14"/>
      <c r="B164" s="15" t="s">
        <v>422</v>
      </c>
      <c r="C164" s="15" t="s">
        <v>964</v>
      </c>
      <c r="D164" s="16"/>
      <c r="E164" s="16" t="s">
        <v>3353</v>
      </c>
      <c r="F164" s="16" t="s">
        <v>3353</v>
      </c>
      <c r="G164" s="16" t="str">
        <f>_xlfn.XLOOKUP( C164,RAW_DATA!B:B, RAW_DATA!Q:Q, "NOT FOUND" )</f>
        <v>2-s2.0-85054250715</v>
      </c>
      <c r="H164" s="1" t="b">
        <f t="shared" si="0"/>
        <v>0</v>
      </c>
      <c r="I164" s="1" t="b">
        <f t="shared" si="1"/>
        <v>0</v>
      </c>
    </row>
    <row r="165" spans="1:9" ht="15.75" customHeight="1">
      <c r="A165" s="14"/>
      <c r="B165" s="15" t="s">
        <v>968</v>
      </c>
      <c r="C165" s="15" t="s">
        <v>969</v>
      </c>
      <c r="D165" s="16"/>
      <c r="E165" s="16" t="s">
        <v>3352</v>
      </c>
      <c r="F165" s="16" t="s">
        <v>3353</v>
      </c>
      <c r="G165" s="16" t="str">
        <f>_xlfn.XLOOKUP( C165,RAW_DATA!B:B, RAW_DATA!Q:Q, "NOT FOUND" )</f>
        <v>2-s2.0-85084012945</v>
      </c>
      <c r="H165" s="1" t="b">
        <f t="shared" si="0"/>
        <v>0</v>
      </c>
      <c r="I165" s="1" t="b">
        <f t="shared" si="1"/>
        <v>0</v>
      </c>
    </row>
    <row r="166" spans="1:9" ht="15.75" customHeight="1">
      <c r="A166" s="14" t="s">
        <v>3388</v>
      </c>
      <c r="B166" s="15" t="s">
        <v>973</v>
      </c>
      <c r="C166" s="15" t="s">
        <v>974</v>
      </c>
      <c r="D166" s="16" t="s">
        <v>3355</v>
      </c>
      <c r="E166" s="16" t="s">
        <v>3352</v>
      </c>
      <c r="F166" s="16" t="s">
        <v>3352</v>
      </c>
      <c r="G166" s="16" t="str">
        <f>_xlfn.XLOOKUP( C166,RAW_DATA!B:B, RAW_DATA!Q:Q, "NOT FOUND" )</f>
        <v>2-s2.0-85066981487</v>
      </c>
      <c r="H166" s="1" t="b">
        <f t="shared" si="0"/>
        <v>0</v>
      </c>
      <c r="I166" s="1" t="b">
        <f t="shared" si="1"/>
        <v>0</v>
      </c>
    </row>
    <row r="167" spans="1:9" ht="15.75" customHeight="1">
      <c r="A167" s="14" t="s">
        <v>3389</v>
      </c>
      <c r="B167" s="15" t="s">
        <v>978</v>
      </c>
      <c r="C167" s="15" t="s">
        <v>979</v>
      </c>
      <c r="D167" s="16" t="s">
        <v>3359</v>
      </c>
      <c r="E167" s="16" t="s">
        <v>3352</v>
      </c>
      <c r="F167" s="16" t="s">
        <v>3352</v>
      </c>
      <c r="G167" s="16" t="str">
        <f>_xlfn.XLOOKUP( C167,RAW_DATA!B:B, RAW_DATA!Q:Q, "NOT FOUND" )</f>
        <v>2-s2.0-85062266123</v>
      </c>
      <c r="H167" s="1" t="b">
        <f t="shared" si="0"/>
        <v>0</v>
      </c>
      <c r="I167" s="1" t="b">
        <f t="shared" si="1"/>
        <v>0</v>
      </c>
    </row>
    <row r="168" spans="1:9" ht="15.75" customHeight="1">
      <c r="A168" s="14"/>
      <c r="B168" s="15" t="s">
        <v>983</v>
      </c>
      <c r="C168" s="15" t="s">
        <v>984</v>
      </c>
      <c r="D168" s="16"/>
      <c r="E168" s="16" t="s">
        <v>3352</v>
      </c>
      <c r="F168" s="16" t="s">
        <v>3353</v>
      </c>
      <c r="G168" s="16" t="str">
        <f>_xlfn.XLOOKUP( C168,RAW_DATA!B:B, RAW_DATA!Q:Q, "NOT FOUND" )</f>
        <v>2-s2.0-85068185171</v>
      </c>
      <c r="H168" s="1" t="b">
        <f t="shared" si="0"/>
        <v>0</v>
      </c>
      <c r="I168" s="1" t="b">
        <f t="shared" si="1"/>
        <v>0</v>
      </c>
    </row>
    <row r="169" spans="1:9" ht="15.75" customHeight="1">
      <c r="A169" s="14"/>
      <c r="B169" s="15" t="s">
        <v>988</v>
      </c>
      <c r="C169" s="15" t="s">
        <v>989</v>
      </c>
      <c r="D169" s="16"/>
      <c r="E169" s="16" t="s">
        <v>3353</v>
      </c>
      <c r="F169" s="16" t="s">
        <v>3353</v>
      </c>
      <c r="G169" s="16" t="str">
        <f>_xlfn.XLOOKUP( C169,RAW_DATA!B:B, RAW_DATA!Q:Q, "NOT FOUND" )</f>
        <v>2-s2.0-85067622352</v>
      </c>
      <c r="H169" s="1" t="b">
        <f t="shared" si="0"/>
        <v>0</v>
      </c>
      <c r="I169" s="1" t="b">
        <f t="shared" si="1"/>
        <v>0</v>
      </c>
    </row>
    <row r="170" spans="1:9" ht="15.75" customHeight="1">
      <c r="A170" s="14"/>
      <c r="B170" s="15" t="s">
        <v>993</v>
      </c>
      <c r="C170" s="15" t="s">
        <v>994</v>
      </c>
      <c r="D170" s="16"/>
      <c r="E170" s="16" t="s">
        <v>3353</v>
      </c>
      <c r="F170" s="16" t="s">
        <v>3353</v>
      </c>
      <c r="G170" s="16" t="str">
        <f>_xlfn.XLOOKUP( C170,RAW_DATA!B:B, RAW_DATA!Q:Q, "NOT FOUND" )</f>
        <v>2-s2.0-85129306597</v>
      </c>
      <c r="H170" s="1" t="b">
        <f t="shared" si="0"/>
        <v>0</v>
      </c>
      <c r="I170" s="1" t="b">
        <f t="shared" si="1"/>
        <v>0</v>
      </c>
    </row>
    <row r="171" spans="1:9" ht="15.75" customHeight="1">
      <c r="A171" s="14"/>
      <c r="B171" s="15" t="s">
        <v>999</v>
      </c>
      <c r="C171" s="15" t="s">
        <v>1000</v>
      </c>
      <c r="D171" s="16"/>
      <c r="E171" s="16" t="s">
        <v>3353</v>
      </c>
      <c r="F171" s="16" t="s">
        <v>3353</v>
      </c>
      <c r="G171" s="16" t="str">
        <f>_xlfn.XLOOKUP( C171,RAW_DATA!B:B, RAW_DATA!Q:Q, "NOT FOUND" )</f>
        <v>2-s2.0-85107658919</v>
      </c>
      <c r="H171" s="1" t="b">
        <f t="shared" si="0"/>
        <v>0</v>
      </c>
      <c r="I171" s="1" t="b">
        <f t="shared" si="1"/>
        <v>0</v>
      </c>
    </row>
    <row r="172" spans="1:9" ht="15.75" customHeight="1">
      <c r="A172" s="14"/>
      <c r="B172" s="15" t="s">
        <v>1004</v>
      </c>
      <c r="C172" s="15" t="s">
        <v>1005</v>
      </c>
      <c r="D172" s="16"/>
      <c r="E172" s="16" t="s">
        <v>3352</v>
      </c>
      <c r="F172" s="16" t="s">
        <v>3353</v>
      </c>
      <c r="G172" s="16" t="str">
        <f>_xlfn.XLOOKUP( C172,RAW_DATA!B:B, RAW_DATA!Q:Q, "NOT FOUND" )</f>
        <v>2-s2.0-85124608079</v>
      </c>
      <c r="H172" s="1" t="b">
        <f t="shared" si="0"/>
        <v>0</v>
      </c>
      <c r="I172" s="1" t="b">
        <f t="shared" si="1"/>
        <v>0</v>
      </c>
    </row>
    <row r="173" spans="1:9" ht="15.75" customHeight="1">
      <c r="A173" s="14"/>
      <c r="B173" s="15" t="s">
        <v>1010</v>
      </c>
      <c r="C173" s="15" t="s">
        <v>1011</v>
      </c>
      <c r="D173" s="16"/>
      <c r="E173" s="16" t="s">
        <v>3352</v>
      </c>
      <c r="F173" s="16" t="s">
        <v>3353</v>
      </c>
      <c r="G173" s="16" t="str">
        <f>_xlfn.XLOOKUP( C173,RAW_DATA!B:B, RAW_DATA!Q:Q, "NOT FOUND" )</f>
        <v>2-s2.0-85046351802</v>
      </c>
      <c r="H173" s="1" t="b">
        <f t="shared" si="0"/>
        <v>0</v>
      </c>
      <c r="I173" s="1" t="b">
        <f t="shared" si="1"/>
        <v>0</v>
      </c>
    </row>
    <row r="174" spans="1:9" ht="15.75" customHeight="1">
      <c r="A174" s="14"/>
      <c r="B174" s="15" t="s">
        <v>1015</v>
      </c>
      <c r="C174" s="15" t="s">
        <v>1016</v>
      </c>
      <c r="D174" s="16"/>
      <c r="E174" s="16" t="s">
        <v>3353</v>
      </c>
      <c r="F174" s="16" t="s">
        <v>3353</v>
      </c>
      <c r="G174" s="16" t="str">
        <f>_xlfn.XLOOKUP( C174,RAW_DATA!B:B, RAW_DATA!Q:Q, "NOT FOUND" )</f>
        <v>2-s2.0-85129603240</v>
      </c>
      <c r="H174" s="1" t="b">
        <f t="shared" si="0"/>
        <v>0</v>
      </c>
      <c r="I174" s="1" t="b">
        <f t="shared" si="1"/>
        <v>0</v>
      </c>
    </row>
    <row r="175" spans="1:9" ht="15.75" customHeight="1">
      <c r="A175" s="14"/>
      <c r="B175" s="15" t="s">
        <v>1021</v>
      </c>
      <c r="C175" s="15" t="s">
        <v>1022</v>
      </c>
      <c r="D175" s="16"/>
      <c r="E175" s="16" t="s">
        <v>3353</v>
      </c>
      <c r="F175" s="16" t="s">
        <v>3353</v>
      </c>
      <c r="G175" s="16" t="str">
        <f>_xlfn.XLOOKUP( C175,RAW_DATA!B:B, RAW_DATA!Q:Q, "NOT FOUND" )</f>
        <v>2-s2.0-85036522833</v>
      </c>
      <c r="H175" s="1" t="b">
        <f t="shared" si="0"/>
        <v>0</v>
      </c>
      <c r="I175" s="1" t="b">
        <f t="shared" si="1"/>
        <v>0</v>
      </c>
    </row>
    <row r="176" spans="1:9" ht="15.75" customHeight="1">
      <c r="A176" s="14"/>
      <c r="B176" s="15" t="s">
        <v>1026</v>
      </c>
      <c r="C176" s="15" t="s">
        <v>1027</v>
      </c>
      <c r="D176" s="16"/>
      <c r="E176" s="16" t="s">
        <v>3352</v>
      </c>
      <c r="F176" s="16" t="s">
        <v>3353</v>
      </c>
      <c r="G176" s="16" t="str">
        <f>_xlfn.XLOOKUP( C176,RAW_DATA!B:B, RAW_DATA!Q:Q, "NOT FOUND" )</f>
        <v>2-s2.0-85113185243</v>
      </c>
      <c r="H176" s="1" t="b">
        <f t="shared" si="0"/>
        <v>0</v>
      </c>
      <c r="I176" s="1" t="b">
        <f t="shared" si="1"/>
        <v>0</v>
      </c>
    </row>
    <row r="177" spans="1:9" ht="15.75" customHeight="1">
      <c r="A177" s="14"/>
      <c r="B177" s="15" t="s">
        <v>1032</v>
      </c>
      <c r="C177" s="15" t="s">
        <v>1033</v>
      </c>
      <c r="D177" s="16"/>
      <c r="E177" s="16" t="s">
        <v>3353</v>
      </c>
      <c r="F177" s="16" t="s">
        <v>3353</v>
      </c>
      <c r="G177" s="16" t="str">
        <f>_xlfn.XLOOKUP( C177,RAW_DATA!B:B, RAW_DATA!Q:Q, "NOT FOUND" )</f>
        <v>2-s2.0-85057873577</v>
      </c>
      <c r="H177" s="1" t="b">
        <f t="shared" si="0"/>
        <v>0</v>
      </c>
      <c r="I177" s="1" t="b">
        <f t="shared" si="1"/>
        <v>0</v>
      </c>
    </row>
    <row r="178" spans="1:9" ht="15.75" customHeight="1">
      <c r="A178" s="14" t="s">
        <v>3390</v>
      </c>
      <c r="B178" s="15" t="s">
        <v>1037</v>
      </c>
      <c r="C178" s="15" t="s">
        <v>1038</v>
      </c>
      <c r="D178" s="16" t="s">
        <v>3355</v>
      </c>
      <c r="E178" s="16" t="s">
        <v>3352</v>
      </c>
      <c r="F178" s="16" t="s">
        <v>3352</v>
      </c>
      <c r="G178" s="16" t="str">
        <f>_xlfn.XLOOKUP( C178,RAW_DATA!B:B, RAW_DATA!Q:Q, "NOT FOUND" )</f>
        <v>2-s2.0-85129380203</v>
      </c>
      <c r="H178" s="1" t="b">
        <f t="shared" si="0"/>
        <v>0</v>
      </c>
      <c r="I178" s="1" t="b">
        <f t="shared" si="1"/>
        <v>0</v>
      </c>
    </row>
    <row r="179" spans="1:9" ht="15.75" customHeight="1">
      <c r="A179" s="14"/>
      <c r="B179" s="15" t="s">
        <v>1043</v>
      </c>
      <c r="C179" s="15" t="s">
        <v>1044</v>
      </c>
      <c r="D179" s="16"/>
      <c r="E179" s="16" t="s">
        <v>3353</v>
      </c>
      <c r="F179" s="16" t="s">
        <v>3353</v>
      </c>
      <c r="G179" s="16" t="str">
        <f>_xlfn.XLOOKUP( C179,RAW_DATA!B:B, RAW_DATA!Q:Q, "NOT FOUND" )</f>
        <v>2-s2.0-85055151138</v>
      </c>
      <c r="H179" s="1" t="b">
        <f t="shared" si="0"/>
        <v>0</v>
      </c>
      <c r="I179" s="1" t="b">
        <f t="shared" si="1"/>
        <v>0</v>
      </c>
    </row>
    <row r="180" spans="1:9" ht="15.75" customHeight="1">
      <c r="A180" s="14"/>
      <c r="B180" s="15" t="s">
        <v>1049</v>
      </c>
      <c r="C180" s="15" t="s">
        <v>1050</v>
      </c>
      <c r="D180" s="16"/>
      <c r="E180" s="16" t="s">
        <v>3352</v>
      </c>
      <c r="F180" s="16" t="s">
        <v>3353</v>
      </c>
      <c r="G180" s="16" t="str">
        <f>_xlfn.XLOOKUP( C180,RAW_DATA!B:B, RAW_DATA!Q:Q, "NOT FOUND" )</f>
        <v>2-s2.0-85163638540</v>
      </c>
      <c r="H180" s="1" t="b">
        <f t="shared" si="0"/>
        <v>0</v>
      </c>
      <c r="I180" s="1" t="b">
        <f t="shared" si="1"/>
        <v>0</v>
      </c>
    </row>
    <row r="181" spans="1:9" ht="15.75" customHeight="1">
      <c r="A181" s="14"/>
      <c r="B181" s="15" t="s">
        <v>1055</v>
      </c>
      <c r="C181" s="15" t="s">
        <v>1056</v>
      </c>
      <c r="D181" s="16" t="s">
        <v>3351</v>
      </c>
      <c r="E181" s="16" t="s">
        <v>3352</v>
      </c>
      <c r="F181" s="16" t="s">
        <v>3353</v>
      </c>
      <c r="G181" s="16" t="str">
        <f>_xlfn.XLOOKUP( C181,RAW_DATA!B:B, RAW_DATA!Q:Q, "NOT FOUND" )</f>
        <v>2-s2.0-85068499184</v>
      </c>
      <c r="H181" s="1" t="b">
        <f t="shared" si="0"/>
        <v>0</v>
      </c>
      <c r="I181" s="1" t="b">
        <f t="shared" si="1"/>
        <v>0</v>
      </c>
    </row>
    <row r="182" spans="1:9" ht="15.75" customHeight="1">
      <c r="A182" s="14"/>
      <c r="B182" s="15" t="s">
        <v>628</v>
      </c>
      <c r="C182" s="15" t="s">
        <v>1060</v>
      </c>
      <c r="D182" s="16"/>
      <c r="E182" s="16" t="s">
        <v>3353</v>
      </c>
      <c r="F182" s="16" t="s">
        <v>3353</v>
      </c>
      <c r="G182" s="16" t="str">
        <f>_xlfn.XLOOKUP( C182,RAW_DATA!B:B, RAW_DATA!Q:Q, "NOT FOUND" )</f>
        <v>2-s2.0-85144604746</v>
      </c>
      <c r="H182" s="1" t="b">
        <f t="shared" si="0"/>
        <v>0</v>
      </c>
      <c r="I182" s="1" t="b">
        <f t="shared" si="1"/>
        <v>0</v>
      </c>
    </row>
    <row r="183" spans="1:9" ht="15.75" customHeight="1">
      <c r="A183" s="14"/>
      <c r="B183" s="15" t="s">
        <v>1064</v>
      </c>
      <c r="C183" s="15" t="s">
        <v>1065</v>
      </c>
      <c r="D183" s="16"/>
      <c r="E183" s="16" t="s">
        <v>3353</v>
      </c>
      <c r="F183" s="16" t="s">
        <v>3353</v>
      </c>
      <c r="G183" s="16" t="str">
        <f>_xlfn.XLOOKUP( C183,RAW_DATA!B:B, RAW_DATA!Q:Q, "NOT FOUND" )</f>
        <v>2-s2.0-84964845785</v>
      </c>
      <c r="H183" s="1" t="b">
        <f t="shared" si="0"/>
        <v>0</v>
      </c>
      <c r="I183" s="1" t="b">
        <f t="shared" si="1"/>
        <v>0</v>
      </c>
    </row>
    <row r="184" spans="1:9" ht="15.75" customHeight="1">
      <c r="A184" s="14"/>
      <c r="B184" s="15" t="s">
        <v>1069</v>
      </c>
      <c r="C184" s="15" t="s">
        <v>1070</v>
      </c>
      <c r="D184" s="16"/>
      <c r="E184" s="16" t="s">
        <v>3353</v>
      </c>
      <c r="F184" s="16" t="s">
        <v>3353</v>
      </c>
      <c r="G184" s="16" t="str">
        <f>_xlfn.XLOOKUP( C184,RAW_DATA!B:B, RAW_DATA!Q:Q, "NOT FOUND" )</f>
        <v>2-s2.0-85102668663</v>
      </c>
      <c r="H184" s="1" t="b">
        <f t="shared" si="0"/>
        <v>0</v>
      </c>
      <c r="I184" s="1" t="b">
        <f t="shared" si="1"/>
        <v>0</v>
      </c>
    </row>
    <row r="185" spans="1:9" ht="15.75" customHeight="1">
      <c r="A185" s="14"/>
      <c r="B185" s="15" t="s">
        <v>1074</v>
      </c>
      <c r="C185" s="15" t="s">
        <v>1075</v>
      </c>
      <c r="D185" s="16"/>
      <c r="E185" s="16" t="s">
        <v>3353</v>
      </c>
      <c r="F185" s="16" t="s">
        <v>3353</v>
      </c>
      <c r="G185" s="16" t="str">
        <f>_xlfn.XLOOKUP( C185,RAW_DATA!B:B, RAW_DATA!Q:Q, "NOT FOUND" )</f>
        <v>2-s2.0-85152119120</v>
      </c>
      <c r="H185" s="1" t="b">
        <f t="shared" si="0"/>
        <v>0</v>
      </c>
      <c r="I185" s="1" t="b">
        <f t="shared" si="1"/>
        <v>0</v>
      </c>
    </row>
    <row r="186" spans="1:9" ht="15.75" customHeight="1">
      <c r="A186" s="14"/>
      <c r="B186" s="15" t="s">
        <v>1079</v>
      </c>
      <c r="C186" s="15" t="s">
        <v>1080</v>
      </c>
      <c r="D186" s="16"/>
      <c r="E186" s="16" t="s">
        <v>3353</v>
      </c>
      <c r="F186" s="16" t="s">
        <v>3353</v>
      </c>
      <c r="G186" s="16" t="str">
        <f>_xlfn.XLOOKUP( C186,RAW_DATA!B:B, RAW_DATA!Q:Q, "NOT FOUND" )</f>
        <v>2-s2.0-85177051708</v>
      </c>
      <c r="H186" s="1" t="b">
        <f t="shared" si="0"/>
        <v>0</v>
      </c>
      <c r="I186" s="1" t="b">
        <f t="shared" si="1"/>
        <v>0</v>
      </c>
    </row>
    <row r="187" spans="1:9" ht="15.75" customHeight="1">
      <c r="A187" s="14"/>
      <c r="B187" s="15" t="s">
        <v>1085</v>
      </c>
      <c r="C187" s="15" t="s">
        <v>1086</v>
      </c>
      <c r="D187" s="16"/>
      <c r="E187" s="16" t="s">
        <v>3353</v>
      </c>
      <c r="F187" s="16" t="s">
        <v>3353</v>
      </c>
      <c r="G187" s="16" t="str">
        <f>_xlfn.XLOOKUP( C187,RAW_DATA!B:B, RAW_DATA!Q:Q, "NOT FOUND" )</f>
        <v>2-s2.0-85044173288</v>
      </c>
      <c r="H187" s="1" t="b">
        <f t="shared" si="0"/>
        <v>0</v>
      </c>
      <c r="I187" s="1" t="b">
        <f t="shared" si="1"/>
        <v>0</v>
      </c>
    </row>
    <row r="188" spans="1:9" ht="15.75" customHeight="1">
      <c r="A188" s="14"/>
      <c r="B188" s="15" t="s">
        <v>1092</v>
      </c>
      <c r="C188" s="15" t="s">
        <v>1093</v>
      </c>
      <c r="D188" s="16"/>
      <c r="E188" s="16" t="s">
        <v>3353</v>
      </c>
      <c r="F188" s="16" t="s">
        <v>3353</v>
      </c>
      <c r="G188" s="16" t="str">
        <f>_xlfn.XLOOKUP( C188,RAW_DATA!B:B, RAW_DATA!Q:Q, "NOT FOUND" )</f>
        <v>2-s2.0-85099422856</v>
      </c>
      <c r="H188" s="1" t="b">
        <f t="shared" si="0"/>
        <v>0</v>
      </c>
      <c r="I188" s="1" t="b">
        <f t="shared" si="1"/>
        <v>0</v>
      </c>
    </row>
    <row r="189" spans="1:9" ht="15.75" customHeight="1">
      <c r="A189" s="14"/>
      <c r="B189" s="15" t="s">
        <v>1098</v>
      </c>
      <c r="C189" s="15" t="s">
        <v>1099</v>
      </c>
      <c r="D189" s="16"/>
      <c r="E189" s="16" t="s">
        <v>3353</v>
      </c>
      <c r="F189" s="16" t="s">
        <v>3353</v>
      </c>
      <c r="G189" s="16" t="str">
        <f>_xlfn.XLOOKUP( C189,RAW_DATA!B:B, RAW_DATA!Q:Q, "NOT FOUND" )</f>
        <v>2-s2.0-85134495392</v>
      </c>
      <c r="H189" s="1" t="b">
        <f t="shared" si="0"/>
        <v>0</v>
      </c>
      <c r="I189" s="1" t="b">
        <f t="shared" si="1"/>
        <v>0</v>
      </c>
    </row>
    <row r="190" spans="1:9" ht="15.75" customHeight="1">
      <c r="A190" s="14"/>
      <c r="B190" s="15" t="s">
        <v>1103</v>
      </c>
      <c r="C190" s="15" t="s">
        <v>1104</v>
      </c>
      <c r="D190" s="16"/>
      <c r="E190" s="16" t="s">
        <v>3352</v>
      </c>
      <c r="F190" s="16" t="s">
        <v>3353</v>
      </c>
      <c r="G190" s="16" t="str">
        <f>_xlfn.XLOOKUP( C190,RAW_DATA!B:B, RAW_DATA!Q:Q, "NOT FOUND" )</f>
        <v>2-s2.0-85103114278</v>
      </c>
      <c r="H190" s="1" t="b">
        <f t="shared" si="0"/>
        <v>0</v>
      </c>
      <c r="I190" s="1" t="b">
        <f t="shared" si="1"/>
        <v>0</v>
      </c>
    </row>
    <row r="191" spans="1:9" ht="15.75" customHeight="1">
      <c r="A191" s="14"/>
      <c r="B191" s="15" t="s">
        <v>1109</v>
      </c>
      <c r="C191" s="15" t="s">
        <v>1110</v>
      </c>
      <c r="D191" s="16" t="s">
        <v>3355</v>
      </c>
      <c r="E191" s="16" t="s">
        <v>3352</v>
      </c>
      <c r="F191" s="16" t="s">
        <v>3353</v>
      </c>
      <c r="G191" s="16" t="str">
        <f>_xlfn.XLOOKUP( C191,RAW_DATA!B:B, RAW_DATA!Q:Q, "NOT FOUND" )</f>
        <v>2-s2.0-85071361637</v>
      </c>
      <c r="H191" s="1" t="b">
        <f t="shared" si="0"/>
        <v>0</v>
      </c>
      <c r="I191" s="1" t="b">
        <f t="shared" si="1"/>
        <v>0</v>
      </c>
    </row>
    <row r="192" spans="1:9" ht="15.75" customHeight="1">
      <c r="A192" s="14"/>
      <c r="B192" s="15" t="s">
        <v>1115</v>
      </c>
      <c r="C192" s="15" t="s">
        <v>1116</v>
      </c>
      <c r="D192" s="16"/>
      <c r="E192" s="16" t="s">
        <v>3352</v>
      </c>
      <c r="F192" s="16" t="s">
        <v>3353</v>
      </c>
      <c r="G192" s="16" t="str">
        <f>_xlfn.XLOOKUP( C192,RAW_DATA!B:B, RAW_DATA!Q:Q, "NOT FOUND" )</f>
        <v>2-s2.0-85060155806</v>
      </c>
      <c r="H192" s="1" t="b">
        <f t="shared" si="0"/>
        <v>0</v>
      </c>
      <c r="I192" s="1" t="b">
        <f t="shared" si="1"/>
        <v>0</v>
      </c>
    </row>
    <row r="193" spans="1:9" ht="15.75" customHeight="1">
      <c r="A193" s="14"/>
      <c r="B193" s="15" t="s">
        <v>1121</v>
      </c>
      <c r="C193" s="15" t="s">
        <v>1122</v>
      </c>
      <c r="D193" s="16"/>
      <c r="E193" s="16" t="s">
        <v>3352</v>
      </c>
      <c r="F193" s="16" t="s">
        <v>3353</v>
      </c>
      <c r="G193" s="16" t="str">
        <f>_xlfn.XLOOKUP( C193,RAW_DATA!B:B, RAW_DATA!Q:Q, "NOT FOUND" )</f>
        <v>2-s2.0-85130737893</v>
      </c>
      <c r="H193" s="1" t="b">
        <f t="shared" si="0"/>
        <v>0</v>
      </c>
      <c r="I193" s="1" t="b">
        <f t="shared" si="1"/>
        <v>0</v>
      </c>
    </row>
    <row r="194" spans="1:9" ht="15.75" customHeight="1">
      <c r="A194" s="14"/>
      <c r="B194" s="15" t="s">
        <v>1127</v>
      </c>
      <c r="C194" s="15" t="s">
        <v>1128</v>
      </c>
      <c r="D194" s="16"/>
      <c r="E194" s="16" t="s">
        <v>3353</v>
      </c>
      <c r="F194" s="16" t="s">
        <v>3353</v>
      </c>
      <c r="G194" s="16" t="str">
        <f>_xlfn.XLOOKUP( C194,RAW_DATA!B:B, RAW_DATA!Q:Q, "NOT FOUND" )</f>
        <v>2-s2.0-85052591959</v>
      </c>
      <c r="H194" s="1" t="b">
        <f t="shared" si="0"/>
        <v>0</v>
      </c>
      <c r="I194" s="1" t="b">
        <f t="shared" si="1"/>
        <v>0</v>
      </c>
    </row>
    <row r="195" spans="1:9" ht="15.75" customHeight="1">
      <c r="A195" s="14"/>
      <c r="B195" s="15" t="s">
        <v>1132</v>
      </c>
      <c r="C195" s="15" t="s">
        <v>1133</v>
      </c>
      <c r="D195" s="16"/>
      <c r="E195" s="16" t="s">
        <v>3353</v>
      </c>
      <c r="F195" s="16" t="s">
        <v>3353</v>
      </c>
      <c r="G195" s="16" t="str">
        <f>_xlfn.XLOOKUP( C195,RAW_DATA!B:B, RAW_DATA!Q:Q, "NOT FOUND" )</f>
        <v>2-s2.0-85088803644</v>
      </c>
      <c r="H195" s="1" t="b">
        <f t="shared" si="0"/>
        <v>0</v>
      </c>
      <c r="I195" s="1" t="b">
        <f t="shared" si="1"/>
        <v>0</v>
      </c>
    </row>
    <row r="196" spans="1:9" ht="15.75" customHeight="1">
      <c r="A196" s="14"/>
      <c r="B196" s="15" t="s">
        <v>1137</v>
      </c>
      <c r="C196" s="15" t="s">
        <v>1138</v>
      </c>
      <c r="D196" s="16"/>
      <c r="E196" s="16" t="s">
        <v>3352</v>
      </c>
      <c r="F196" s="16" t="s">
        <v>3353</v>
      </c>
      <c r="G196" s="16" t="str">
        <f>_xlfn.XLOOKUP( C196,RAW_DATA!B:B, RAW_DATA!Q:Q, "NOT FOUND" )</f>
        <v>2-s2.0-85065734266</v>
      </c>
      <c r="H196" s="1" t="b">
        <f t="shared" si="0"/>
        <v>0</v>
      </c>
      <c r="I196" s="1" t="b">
        <f t="shared" si="1"/>
        <v>0</v>
      </c>
    </row>
    <row r="197" spans="1:9" ht="15.75" customHeight="1">
      <c r="A197" s="14" t="s">
        <v>3391</v>
      </c>
      <c r="B197" s="15" t="s">
        <v>1143</v>
      </c>
      <c r="C197" s="15" t="s">
        <v>1144</v>
      </c>
      <c r="D197" s="16" t="s">
        <v>3359</v>
      </c>
      <c r="E197" s="16" t="s">
        <v>3352</v>
      </c>
      <c r="F197" s="16" t="s">
        <v>3352</v>
      </c>
      <c r="G197" s="16" t="str">
        <f>_xlfn.XLOOKUP( C197,RAW_DATA!B:B, RAW_DATA!Q:Q, "NOT FOUND" )</f>
        <v>2-s2.0-85124420205</v>
      </c>
      <c r="H197" s="1" t="b">
        <f t="shared" si="0"/>
        <v>0</v>
      </c>
      <c r="I197" s="1" t="b">
        <f t="shared" si="1"/>
        <v>0</v>
      </c>
    </row>
    <row r="198" spans="1:9" ht="15.75" customHeight="1">
      <c r="A198" s="14"/>
      <c r="B198" s="15" t="s">
        <v>1150</v>
      </c>
      <c r="C198" s="15" t="s">
        <v>1151</v>
      </c>
      <c r="D198" s="16"/>
      <c r="E198" s="16" t="s">
        <v>3352</v>
      </c>
      <c r="F198" s="16" t="s">
        <v>3353</v>
      </c>
      <c r="G198" s="16" t="str">
        <f>_xlfn.XLOOKUP( C198,RAW_DATA!B:B, RAW_DATA!Q:Q, "NOT FOUND" )</f>
        <v>2-s2.0-85021817045</v>
      </c>
      <c r="H198" s="1" t="b">
        <f t="shared" si="0"/>
        <v>0</v>
      </c>
      <c r="I198" s="1" t="b">
        <f t="shared" si="1"/>
        <v>0</v>
      </c>
    </row>
    <row r="199" spans="1:9" ht="15.75" customHeight="1">
      <c r="A199" s="14"/>
      <c r="B199" s="15" t="s">
        <v>1155</v>
      </c>
      <c r="C199" s="15" t="s">
        <v>1156</v>
      </c>
      <c r="D199" s="16"/>
      <c r="E199" s="16" t="s">
        <v>3352</v>
      </c>
      <c r="F199" s="16" t="s">
        <v>3353</v>
      </c>
      <c r="G199" s="16" t="str">
        <f>_xlfn.XLOOKUP( C199,RAW_DATA!B:B, RAW_DATA!Q:Q, "NOT FOUND" )</f>
        <v>2-s2.0-85100051479</v>
      </c>
      <c r="H199" s="1" t="b">
        <f t="shared" si="0"/>
        <v>0</v>
      </c>
      <c r="I199" s="1" t="b">
        <f t="shared" si="1"/>
        <v>0</v>
      </c>
    </row>
    <row r="200" spans="1:9" ht="15.75" customHeight="1">
      <c r="A200" s="14"/>
      <c r="B200" s="15" t="s">
        <v>1160</v>
      </c>
      <c r="C200" s="15" t="s">
        <v>1161</v>
      </c>
      <c r="D200" s="16"/>
      <c r="E200" s="16" t="s">
        <v>3352</v>
      </c>
      <c r="F200" s="16" t="s">
        <v>3353</v>
      </c>
      <c r="G200" s="16" t="str">
        <f>_xlfn.XLOOKUP( C200,RAW_DATA!B:B, RAW_DATA!Q:Q, "NOT FOUND" )</f>
        <v>2-s2.0-85101833010</v>
      </c>
      <c r="H200" s="1" t="b">
        <f t="shared" si="0"/>
        <v>0</v>
      </c>
      <c r="I200" s="1" t="b">
        <f t="shared" si="1"/>
        <v>0</v>
      </c>
    </row>
    <row r="201" spans="1:9" ht="15.75" customHeight="1">
      <c r="A201" s="14"/>
      <c r="B201" s="15" t="s">
        <v>1165</v>
      </c>
      <c r="C201" s="15" t="s">
        <v>1166</v>
      </c>
      <c r="D201" s="16"/>
      <c r="E201" s="16" t="s">
        <v>3352</v>
      </c>
      <c r="F201" s="16" t="s">
        <v>3353</v>
      </c>
      <c r="G201" s="16" t="str">
        <f>_xlfn.XLOOKUP( C201,RAW_DATA!B:B, RAW_DATA!Q:Q, "NOT FOUND" )</f>
        <v>2-s2.0-85018786230</v>
      </c>
      <c r="H201" s="1" t="b">
        <f t="shared" si="0"/>
        <v>0</v>
      </c>
      <c r="I201" s="1" t="b">
        <f t="shared" si="1"/>
        <v>0</v>
      </c>
    </row>
    <row r="202" spans="1:9" ht="15.75" customHeight="1">
      <c r="A202" s="14"/>
      <c r="B202" s="15" t="s">
        <v>1170</v>
      </c>
      <c r="C202" s="15" t="s">
        <v>1171</v>
      </c>
      <c r="D202" s="16"/>
      <c r="E202" s="16" t="s">
        <v>3353</v>
      </c>
      <c r="F202" s="16" t="s">
        <v>3353</v>
      </c>
      <c r="G202" s="16" t="str">
        <f>_xlfn.XLOOKUP( C202,RAW_DATA!B:B, RAW_DATA!Q:Q, "NOT FOUND" )</f>
        <v>2-s2.0-85159779314</v>
      </c>
      <c r="H202" s="1" t="b">
        <f t="shared" si="0"/>
        <v>0</v>
      </c>
      <c r="I202" s="1" t="b">
        <f t="shared" si="1"/>
        <v>0</v>
      </c>
    </row>
    <row r="203" spans="1:9" ht="15.75" customHeight="1">
      <c r="A203" s="14"/>
      <c r="B203" s="15" t="s">
        <v>1177</v>
      </c>
      <c r="C203" s="15" t="s">
        <v>1178</v>
      </c>
      <c r="D203" s="16"/>
      <c r="E203" s="16" t="s">
        <v>3352</v>
      </c>
      <c r="F203" s="16" t="s">
        <v>3353</v>
      </c>
      <c r="G203" s="16" t="str">
        <f>_xlfn.XLOOKUP( C203,RAW_DATA!B:B, RAW_DATA!Q:Q, "NOT FOUND" )</f>
        <v>2-s2.0-85182942116</v>
      </c>
      <c r="H203" s="1" t="b">
        <f t="shared" si="0"/>
        <v>0</v>
      </c>
      <c r="I203" s="1" t="b">
        <f t="shared" si="1"/>
        <v>0</v>
      </c>
    </row>
    <row r="204" spans="1:9" ht="15.75" customHeight="1">
      <c r="A204" s="14"/>
      <c r="B204" s="15" t="s">
        <v>1183</v>
      </c>
      <c r="C204" s="15" t="s">
        <v>1184</v>
      </c>
      <c r="D204" s="16"/>
      <c r="E204" s="16" t="s">
        <v>3353</v>
      </c>
      <c r="F204" s="16" t="s">
        <v>3353</v>
      </c>
      <c r="G204" s="16" t="str">
        <f>_xlfn.XLOOKUP( C204,RAW_DATA!B:B, RAW_DATA!Q:Q, "NOT FOUND" )</f>
        <v>2-s2.0-85044933543</v>
      </c>
      <c r="H204" s="1" t="b">
        <f t="shared" si="0"/>
        <v>0</v>
      </c>
      <c r="I204" s="1" t="b">
        <f t="shared" si="1"/>
        <v>0</v>
      </c>
    </row>
    <row r="205" spans="1:9" ht="15.75" customHeight="1">
      <c r="A205" s="14"/>
      <c r="B205" s="15" t="s">
        <v>1189</v>
      </c>
      <c r="C205" s="15" t="s">
        <v>1190</v>
      </c>
      <c r="D205" s="16"/>
      <c r="E205" s="16" t="s">
        <v>3353</v>
      </c>
      <c r="F205" s="16" t="s">
        <v>3353</v>
      </c>
      <c r="G205" s="16" t="str">
        <f>_xlfn.XLOOKUP( C205,RAW_DATA!B:B, RAW_DATA!Q:Q, "NOT FOUND" )</f>
        <v>2-s2.0-85101900164</v>
      </c>
      <c r="H205" s="1" t="b">
        <f t="shared" si="0"/>
        <v>0</v>
      </c>
      <c r="I205" s="1" t="b">
        <f t="shared" si="1"/>
        <v>0</v>
      </c>
    </row>
    <row r="206" spans="1:9" ht="15.75" customHeight="1">
      <c r="A206" s="14"/>
      <c r="B206" s="15" t="s">
        <v>1196</v>
      </c>
      <c r="C206" s="15" t="s">
        <v>1197</v>
      </c>
      <c r="D206" s="16"/>
      <c r="E206" s="16" t="s">
        <v>3352</v>
      </c>
      <c r="F206" s="16" t="s">
        <v>3353</v>
      </c>
      <c r="G206" s="16" t="str">
        <f>_xlfn.XLOOKUP( C206,RAW_DATA!B:B, RAW_DATA!Q:Q, "NOT FOUND" )</f>
        <v>2-s2.0-85097415003</v>
      </c>
      <c r="H206" s="1" t="b">
        <f t="shared" si="0"/>
        <v>0</v>
      </c>
      <c r="I206" s="1" t="b">
        <f t="shared" si="1"/>
        <v>0</v>
      </c>
    </row>
    <row r="207" spans="1:9" ht="15.75" customHeight="1">
      <c r="A207" s="14"/>
      <c r="B207" s="15" t="s">
        <v>1202</v>
      </c>
      <c r="C207" s="15" t="s">
        <v>1203</v>
      </c>
      <c r="D207" s="16"/>
      <c r="E207" s="16" t="s">
        <v>3352</v>
      </c>
      <c r="F207" s="16" t="s">
        <v>3353</v>
      </c>
      <c r="G207" s="16" t="str">
        <f>_xlfn.XLOOKUP( C207,RAW_DATA!B:B, RAW_DATA!Q:Q, "NOT FOUND" )</f>
        <v>2-s2.0-85060928269</v>
      </c>
      <c r="H207" s="1" t="b">
        <f t="shared" si="0"/>
        <v>0</v>
      </c>
      <c r="I207" s="1" t="b">
        <f t="shared" si="1"/>
        <v>0</v>
      </c>
    </row>
    <row r="208" spans="1:9" ht="15.75" customHeight="1">
      <c r="A208" s="14"/>
      <c r="B208" s="15" t="s">
        <v>1207</v>
      </c>
      <c r="C208" s="15" t="s">
        <v>1208</v>
      </c>
      <c r="D208" s="16"/>
      <c r="E208" s="16" t="s">
        <v>3353</v>
      </c>
      <c r="F208" s="16" t="s">
        <v>3353</v>
      </c>
      <c r="G208" s="16" t="str">
        <f>_xlfn.XLOOKUP( C208,RAW_DATA!B:B, RAW_DATA!Q:Q, "NOT FOUND" )</f>
        <v>2-s2.0-85153940405</v>
      </c>
      <c r="H208" s="1" t="b">
        <f t="shared" si="0"/>
        <v>0</v>
      </c>
      <c r="I208" s="1" t="b">
        <f t="shared" si="1"/>
        <v>0</v>
      </c>
    </row>
    <row r="209" spans="1:9" ht="15.75" customHeight="1">
      <c r="A209" s="14"/>
      <c r="B209" s="15" t="s">
        <v>1212</v>
      </c>
      <c r="C209" s="15" t="s">
        <v>1213</v>
      </c>
      <c r="D209" s="16"/>
      <c r="E209" s="16" t="s">
        <v>3352</v>
      </c>
      <c r="F209" s="16" t="s">
        <v>3353</v>
      </c>
      <c r="G209" s="16" t="str">
        <f>_xlfn.XLOOKUP( C209,RAW_DATA!B:B, RAW_DATA!Q:Q, "NOT FOUND" )</f>
        <v>2-s2.0-85107821361</v>
      </c>
      <c r="H209" s="1" t="b">
        <f t="shared" si="0"/>
        <v>0</v>
      </c>
      <c r="I209" s="1" t="b">
        <f t="shared" si="1"/>
        <v>0</v>
      </c>
    </row>
    <row r="210" spans="1:9" ht="15.75" customHeight="1">
      <c r="A210" s="14"/>
      <c r="B210" s="15" t="s">
        <v>1217</v>
      </c>
      <c r="C210" s="15" t="s">
        <v>1218</v>
      </c>
      <c r="D210" s="16"/>
      <c r="E210" s="16" t="s">
        <v>3352</v>
      </c>
      <c r="F210" s="16" t="s">
        <v>3353</v>
      </c>
      <c r="G210" s="16" t="str">
        <f>_xlfn.XLOOKUP( C210,RAW_DATA!B:B, RAW_DATA!Q:Q, "NOT FOUND" )</f>
        <v>2-s2.0-85100531342</v>
      </c>
      <c r="H210" s="1" t="b">
        <f t="shared" si="0"/>
        <v>0</v>
      </c>
      <c r="I210" s="1" t="b">
        <f t="shared" si="1"/>
        <v>0</v>
      </c>
    </row>
    <row r="211" spans="1:9" ht="15.75" customHeight="1">
      <c r="A211" s="14"/>
      <c r="B211" s="15" t="s">
        <v>1222</v>
      </c>
      <c r="C211" s="15" t="s">
        <v>1223</v>
      </c>
      <c r="D211" s="16"/>
      <c r="E211" s="16" t="s">
        <v>3353</v>
      </c>
      <c r="F211" s="16" t="s">
        <v>3353</v>
      </c>
      <c r="G211" s="16" t="str">
        <f>_xlfn.XLOOKUP( C211,RAW_DATA!B:B, RAW_DATA!Q:Q, "NOT FOUND" )</f>
        <v>2-s2.0-85010208253</v>
      </c>
      <c r="H211" s="1" t="b">
        <f t="shared" si="0"/>
        <v>0</v>
      </c>
      <c r="I211" s="1" t="b">
        <f t="shared" si="1"/>
        <v>0</v>
      </c>
    </row>
    <row r="212" spans="1:9" ht="15.75" customHeight="1">
      <c r="A212" s="14"/>
      <c r="B212" s="15" t="s">
        <v>1227</v>
      </c>
      <c r="C212" s="15" t="s">
        <v>1228</v>
      </c>
      <c r="D212" s="16"/>
      <c r="E212" s="16" t="s">
        <v>3352</v>
      </c>
      <c r="F212" s="16" t="s">
        <v>3353</v>
      </c>
      <c r="G212" s="16" t="str">
        <f>_xlfn.XLOOKUP( C212,RAW_DATA!B:B, RAW_DATA!Q:Q, "NOT FOUND" )</f>
        <v>2-s2.0-85066123743</v>
      </c>
      <c r="H212" s="1" t="b">
        <f t="shared" si="0"/>
        <v>0</v>
      </c>
      <c r="I212" s="1" t="b">
        <f t="shared" si="1"/>
        <v>0</v>
      </c>
    </row>
    <row r="213" spans="1:9" ht="15.75" customHeight="1">
      <c r="A213" s="14"/>
      <c r="B213" s="15" t="s">
        <v>1232</v>
      </c>
      <c r="C213" s="15" t="s">
        <v>1233</v>
      </c>
      <c r="D213" s="16"/>
      <c r="E213" s="16" t="s">
        <v>3352</v>
      </c>
      <c r="F213" s="16" t="s">
        <v>3353</v>
      </c>
      <c r="G213" s="16" t="str">
        <f>_xlfn.XLOOKUP( C213,RAW_DATA!B:B, RAW_DATA!Q:Q, "NOT FOUND" )</f>
        <v>2-s2.0-85045130182</v>
      </c>
      <c r="H213" s="1" t="b">
        <f t="shared" si="0"/>
        <v>0</v>
      </c>
      <c r="I213" s="1" t="b">
        <f t="shared" si="1"/>
        <v>0</v>
      </c>
    </row>
    <row r="214" spans="1:9" ht="15.75" customHeight="1">
      <c r="A214" s="14" t="s">
        <v>3392</v>
      </c>
      <c r="B214" s="15" t="s">
        <v>1237</v>
      </c>
      <c r="C214" s="15" t="s">
        <v>1238</v>
      </c>
      <c r="D214" s="16" t="s">
        <v>3355</v>
      </c>
      <c r="E214" s="16" t="s">
        <v>3352</v>
      </c>
      <c r="F214" s="16" t="s">
        <v>3352</v>
      </c>
      <c r="G214" s="16" t="str">
        <f>_xlfn.XLOOKUP( C214,RAW_DATA!B:B, RAW_DATA!Q:Q, "NOT FOUND" )</f>
        <v>2-s2.0-85044470502</v>
      </c>
      <c r="H214" s="1" t="b">
        <f t="shared" si="0"/>
        <v>0</v>
      </c>
      <c r="I214" s="1" t="b">
        <f t="shared" si="1"/>
        <v>0</v>
      </c>
    </row>
    <row r="215" spans="1:9" ht="15.75" customHeight="1">
      <c r="A215" s="14"/>
      <c r="B215" s="15" t="s">
        <v>1243</v>
      </c>
      <c r="C215" s="15" t="s">
        <v>1244</v>
      </c>
      <c r="D215" s="16"/>
      <c r="E215" s="16" t="s">
        <v>3353</v>
      </c>
      <c r="F215" s="16" t="s">
        <v>3353</v>
      </c>
      <c r="G215" s="16" t="str">
        <f>_xlfn.XLOOKUP( C215,RAW_DATA!B:B, RAW_DATA!Q:Q, "NOT FOUND" )</f>
        <v>2-s2.0-85141663353</v>
      </c>
      <c r="H215" s="1" t="b">
        <f t="shared" si="0"/>
        <v>0</v>
      </c>
      <c r="I215" s="1" t="b">
        <f t="shared" si="1"/>
        <v>0</v>
      </c>
    </row>
    <row r="216" spans="1:9" ht="15.75" customHeight="1">
      <c r="A216" s="14"/>
      <c r="B216" s="15" t="s">
        <v>1248</v>
      </c>
      <c r="C216" s="15" t="s">
        <v>1249</v>
      </c>
      <c r="D216" s="16"/>
      <c r="E216" s="16" t="s">
        <v>3353</v>
      </c>
      <c r="F216" s="16" t="s">
        <v>3353</v>
      </c>
      <c r="G216" s="16" t="str">
        <f>_xlfn.XLOOKUP( C216,RAW_DATA!B:B, RAW_DATA!Q:Q, "NOT FOUND" )</f>
        <v>2-s2.0-85038859286</v>
      </c>
      <c r="H216" s="1" t="b">
        <f t="shared" si="0"/>
        <v>0</v>
      </c>
      <c r="I216" s="1" t="b">
        <f t="shared" si="1"/>
        <v>0</v>
      </c>
    </row>
    <row r="217" spans="1:9" ht="15.75" customHeight="1">
      <c r="A217" s="14"/>
      <c r="B217" s="15" t="s">
        <v>1254</v>
      </c>
      <c r="C217" s="15" t="s">
        <v>1255</v>
      </c>
      <c r="D217" s="16"/>
      <c r="E217" s="16" t="s">
        <v>3353</v>
      </c>
      <c r="F217" s="16" t="s">
        <v>3353</v>
      </c>
      <c r="G217" s="16" t="str">
        <f>_xlfn.XLOOKUP( C217,RAW_DATA!B:B, RAW_DATA!Q:Q, "NOT FOUND" )</f>
        <v>2-s2.0-85071692315</v>
      </c>
      <c r="H217" s="1" t="b">
        <f t="shared" si="0"/>
        <v>0</v>
      </c>
      <c r="I217" s="1" t="b">
        <f t="shared" si="1"/>
        <v>0</v>
      </c>
    </row>
    <row r="218" spans="1:9" ht="15.75" customHeight="1">
      <c r="A218" s="14"/>
      <c r="B218" s="15" t="s">
        <v>1260</v>
      </c>
      <c r="C218" s="15" t="s">
        <v>1261</v>
      </c>
      <c r="D218" s="16"/>
      <c r="E218" s="16" t="s">
        <v>3353</v>
      </c>
      <c r="F218" s="16" t="s">
        <v>3353</v>
      </c>
      <c r="G218" s="16" t="str">
        <f>_xlfn.XLOOKUP( C218,RAW_DATA!B:B, RAW_DATA!Q:Q, "NOT FOUND" )</f>
        <v>2-s2.0-85089299779</v>
      </c>
      <c r="H218" s="1" t="b">
        <f t="shared" si="0"/>
        <v>0</v>
      </c>
      <c r="I218" s="1" t="b">
        <f t="shared" si="1"/>
        <v>0</v>
      </c>
    </row>
    <row r="219" spans="1:9" ht="15.75" customHeight="1">
      <c r="A219" s="14"/>
      <c r="B219" s="15" t="s">
        <v>1266</v>
      </c>
      <c r="C219" s="15" t="s">
        <v>1267</v>
      </c>
      <c r="D219" s="16"/>
      <c r="E219" s="16" t="s">
        <v>3353</v>
      </c>
      <c r="F219" s="16" t="s">
        <v>3353</v>
      </c>
      <c r="G219" s="16" t="str">
        <f>_xlfn.XLOOKUP( C219,RAW_DATA!B:B, RAW_DATA!Q:Q, "NOT FOUND" )</f>
        <v>2-s2.0-85135501667</v>
      </c>
      <c r="H219" s="1" t="b">
        <f t="shared" si="0"/>
        <v>0</v>
      </c>
      <c r="I219" s="1" t="b">
        <f t="shared" si="1"/>
        <v>0</v>
      </c>
    </row>
    <row r="220" spans="1:9" ht="15.75" customHeight="1">
      <c r="A220" s="14"/>
      <c r="B220" s="15" t="s">
        <v>1272</v>
      </c>
      <c r="C220" s="15" t="s">
        <v>1273</v>
      </c>
      <c r="D220" s="16"/>
      <c r="E220" s="16" t="s">
        <v>3353</v>
      </c>
      <c r="F220" s="16" t="s">
        <v>3353</v>
      </c>
      <c r="G220" s="16" t="str">
        <f>_xlfn.XLOOKUP( C220,RAW_DATA!B:B, RAW_DATA!Q:Q, "NOT FOUND" )</f>
        <v>2-s2.0-85089290723</v>
      </c>
      <c r="H220" s="1" t="b">
        <f t="shared" si="0"/>
        <v>0</v>
      </c>
      <c r="I220" s="1" t="b">
        <f t="shared" si="1"/>
        <v>0</v>
      </c>
    </row>
    <row r="221" spans="1:9" ht="15.75" customHeight="1">
      <c r="A221" s="14"/>
      <c r="B221" s="15" t="s">
        <v>1278</v>
      </c>
      <c r="C221" s="15" t="s">
        <v>1279</v>
      </c>
      <c r="D221" s="16"/>
      <c r="E221" s="16" t="s">
        <v>3352</v>
      </c>
      <c r="F221" s="16" t="s">
        <v>3353</v>
      </c>
      <c r="G221" s="16" t="str">
        <f>_xlfn.XLOOKUP( C221,RAW_DATA!B:B, RAW_DATA!Q:Q, "NOT FOUND" )</f>
        <v>2-s2.0-85127463083</v>
      </c>
      <c r="H221" s="1" t="b">
        <f t="shared" si="0"/>
        <v>0</v>
      </c>
      <c r="I221" s="1" t="b">
        <f t="shared" si="1"/>
        <v>0</v>
      </c>
    </row>
    <row r="222" spans="1:9" ht="15.75" customHeight="1">
      <c r="A222" s="14"/>
      <c r="B222" s="15" t="s">
        <v>1283</v>
      </c>
      <c r="C222" s="15" t="s">
        <v>1284</v>
      </c>
      <c r="D222" s="16"/>
      <c r="E222" s="16" t="s">
        <v>3353</v>
      </c>
      <c r="F222" s="16" t="s">
        <v>3353</v>
      </c>
      <c r="G222" s="16" t="str">
        <f>_xlfn.XLOOKUP( C222,RAW_DATA!B:B, RAW_DATA!Q:Q, "NOT FOUND" )</f>
        <v>2-s2.0-85174833809</v>
      </c>
      <c r="H222" s="1" t="b">
        <f t="shared" si="0"/>
        <v>0</v>
      </c>
      <c r="I222" s="1" t="b">
        <f t="shared" si="1"/>
        <v>0</v>
      </c>
    </row>
    <row r="223" spans="1:9" ht="15.75" customHeight="1">
      <c r="A223" s="14"/>
      <c r="B223" s="15" t="s">
        <v>1288</v>
      </c>
      <c r="C223" s="15" t="s">
        <v>1289</v>
      </c>
      <c r="D223" s="16"/>
      <c r="E223" s="16" t="s">
        <v>3353</v>
      </c>
      <c r="F223" s="16" t="s">
        <v>3353</v>
      </c>
      <c r="G223" s="16" t="str">
        <f>_xlfn.XLOOKUP( C223,RAW_DATA!B:B, RAW_DATA!Q:Q, "NOT FOUND" )</f>
        <v>2-s2.0-85147277493</v>
      </c>
      <c r="H223" s="1" t="b">
        <f t="shared" si="0"/>
        <v>0</v>
      </c>
      <c r="I223" s="1" t="b">
        <f t="shared" si="1"/>
        <v>0</v>
      </c>
    </row>
    <row r="224" spans="1:9" ht="15.75" customHeight="1">
      <c r="A224" s="14"/>
      <c r="B224" s="15" t="s">
        <v>1293</v>
      </c>
      <c r="C224" s="15" t="s">
        <v>1294</v>
      </c>
      <c r="D224" s="16"/>
      <c r="E224" s="16" t="s">
        <v>3352</v>
      </c>
      <c r="F224" s="16" t="s">
        <v>3353</v>
      </c>
      <c r="G224" s="16" t="str">
        <f>_xlfn.XLOOKUP( C224,RAW_DATA!B:B, RAW_DATA!Q:Q, "NOT FOUND" )</f>
        <v>2-s2.0-85149731731</v>
      </c>
      <c r="H224" s="1" t="b">
        <f t="shared" si="0"/>
        <v>0</v>
      </c>
      <c r="I224" s="1" t="b">
        <f t="shared" si="1"/>
        <v>0</v>
      </c>
    </row>
    <row r="225" spans="1:9" ht="15.75" customHeight="1">
      <c r="A225" s="14"/>
      <c r="B225" s="15" t="s">
        <v>1299</v>
      </c>
      <c r="C225" s="15" t="s">
        <v>1300</v>
      </c>
      <c r="D225" s="16"/>
      <c r="E225" s="16" t="s">
        <v>3352</v>
      </c>
      <c r="F225" s="16" t="s">
        <v>3353</v>
      </c>
      <c r="G225" s="16" t="str">
        <f>_xlfn.XLOOKUP( C225,RAW_DATA!B:B, RAW_DATA!Q:Q, "NOT FOUND" )</f>
        <v>2-s2.0-85177063330</v>
      </c>
      <c r="H225" s="1" t="b">
        <f t="shared" si="0"/>
        <v>0</v>
      </c>
      <c r="I225" s="1" t="b">
        <f t="shared" si="1"/>
        <v>0</v>
      </c>
    </row>
    <row r="226" spans="1:9" ht="15.75" customHeight="1">
      <c r="A226" s="14"/>
      <c r="B226" s="15" t="s">
        <v>1304</v>
      </c>
      <c r="C226" s="15" t="s">
        <v>1305</v>
      </c>
      <c r="D226" s="16"/>
      <c r="E226" s="16" t="s">
        <v>3352</v>
      </c>
      <c r="F226" s="16" t="s">
        <v>3353</v>
      </c>
      <c r="G226" s="16" t="str">
        <f>_xlfn.XLOOKUP( C226,RAW_DATA!B:B, RAW_DATA!Q:Q, "NOT FOUND" )</f>
        <v>2-s2.0-85140994531</v>
      </c>
      <c r="H226" s="1" t="b">
        <f t="shared" si="0"/>
        <v>0</v>
      </c>
      <c r="I226" s="1" t="b">
        <f t="shared" si="1"/>
        <v>0</v>
      </c>
    </row>
    <row r="227" spans="1:9" ht="15.75" customHeight="1">
      <c r="A227" s="14" t="s">
        <v>3393</v>
      </c>
      <c r="B227" s="15" t="s">
        <v>1310</v>
      </c>
      <c r="C227" s="15" t="s">
        <v>1311</v>
      </c>
      <c r="D227" s="16"/>
      <c r="E227" s="16" t="s">
        <v>3352</v>
      </c>
      <c r="F227" s="16" t="s">
        <v>3353</v>
      </c>
      <c r="G227" s="16" t="str">
        <f>_xlfn.XLOOKUP( C227,RAW_DATA!B:B, RAW_DATA!Q:Q, "NOT FOUND" )</f>
        <v>2-s2.0-85016490867</v>
      </c>
      <c r="H227" s="1" t="b">
        <f t="shared" si="0"/>
        <v>0</v>
      </c>
      <c r="I227" s="1" t="b">
        <f t="shared" si="1"/>
        <v>0</v>
      </c>
    </row>
    <row r="228" spans="1:9" ht="15.75" customHeight="1">
      <c r="A228" s="14"/>
      <c r="B228" s="15" t="s">
        <v>1315</v>
      </c>
      <c r="C228" s="15" t="s">
        <v>1316</v>
      </c>
      <c r="D228" s="16"/>
      <c r="E228" s="16" t="s">
        <v>3353</v>
      </c>
      <c r="F228" s="16" t="s">
        <v>3353</v>
      </c>
      <c r="G228" s="16" t="str">
        <f>_xlfn.XLOOKUP( C228,RAW_DATA!B:B, RAW_DATA!Q:Q, "NOT FOUND" )</f>
        <v>2-s2.0-85139035721</v>
      </c>
      <c r="H228" s="1" t="b">
        <f t="shared" si="0"/>
        <v>0</v>
      </c>
      <c r="I228" s="1" t="b">
        <f t="shared" si="1"/>
        <v>0</v>
      </c>
    </row>
    <row r="229" spans="1:9" ht="15.75" customHeight="1">
      <c r="A229" s="14"/>
      <c r="B229" s="15" t="s">
        <v>1321</v>
      </c>
      <c r="C229" s="15" t="s">
        <v>1322</v>
      </c>
      <c r="D229" s="16"/>
      <c r="E229" s="16" t="s">
        <v>3352</v>
      </c>
      <c r="F229" s="16" t="s">
        <v>3353</v>
      </c>
      <c r="G229" s="16" t="str">
        <f>_xlfn.XLOOKUP( C229,RAW_DATA!B:B, RAW_DATA!Q:Q, "NOT FOUND" )</f>
        <v>2-s2.0-85172478955</v>
      </c>
      <c r="H229" s="1" t="b">
        <f t="shared" si="0"/>
        <v>0</v>
      </c>
      <c r="I229" s="1" t="b">
        <f t="shared" si="1"/>
        <v>0</v>
      </c>
    </row>
    <row r="230" spans="1:9" ht="15.75" customHeight="1">
      <c r="A230" s="14"/>
      <c r="B230" s="15" t="s">
        <v>1326</v>
      </c>
      <c r="C230" s="15" t="s">
        <v>1327</v>
      </c>
      <c r="D230" s="16"/>
      <c r="E230" s="16" t="s">
        <v>3352</v>
      </c>
      <c r="F230" s="16" t="s">
        <v>3394</v>
      </c>
      <c r="G230" s="16" t="str">
        <f>_xlfn.XLOOKUP( C230,RAW_DATA!B:B, RAW_DATA!Q:Q, "NOT FOUND" )</f>
        <v>2-s2.0-85163666832</v>
      </c>
      <c r="H230" s="1" t="b">
        <f t="shared" si="0"/>
        <v>0</v>
      </c>
      <c r="I230" s="1" t="b">
        <f t="shared" si="1"/>
        <v>0</v>
      </c>
    </row>
    <row r="231" spans="1:9" ht="15.75" customHeight="1">
      <c r="A231" s="14"/>
      <c r="B231" s="15" t="s">
        <v>1331</v>
      </c>
      <c r="C231" s="15" t="s">
        <v>1332</v>
      </c>
      <c r="D231" s="16"/>
      <c r="E231" s="16" t="s">
        <v>3353</v>
      </c>
      <c r="F231" s="16" t="s">
        <v>3353</v>
      </c>
      <c r="G231" s="16" t="str">
        <f>_xlfn.XLOOKUP( C231,RAW_DATA!B:B, RAW_DATA!Q:Q, "NOT FOUND" )</f>
        <v>2-s2.0-85163660057</v>
      </c>
      <c r="H231" s="1" t="b">
        <f t="shared" si="0"/>
        <v>0</v>
      </c>
      <c r="I231" s="1" t="b">
        <f t="shared" si="1"/>
        <v>0</v>
      </c>
    </row>
    <row r="232" spans="1:9" ht="15.75" customHeight="1">
      <c r="A232" s="14"/>
      <c r="B232" s="15" t="s">
        <v>1336</v>
      </c>
      <c r="C232" s="15" t="s">
        <v>1337</v>
      </c>
      <c r="D232" s="16"/>
      <c r="E232" s="16" t="s">
        <v>3352</v>
      </c>
      <c r="F232" s="16" t="s">
        <v>3353</v>
      </c>
      <c r="G232" s="16" t="str">
        <f>_xlfn.XLOOKUP( C232,RAW_DATA!B:B, RAW_DATA!Q:Q, "NOT FOUND" )</f>
        <v>2-s2.0-85126151026</v>
      </c>
      <c r="H232" s="1" t="b">
        <f t="shared" si="0"/>
        <v>0</v>
      </c>
      <c r="I232" s="1" t="b">
        <f t="shared" si="1"/>
        <v>0</v>
      </c>
    </row>
    <row r="233" spans="1:9" ht="15.75" customHeight="1">
      <c r="A233" s="14"/>
      <c r="B233" s="15" t="s">
        <v>1341</v>
      </c>
      <c r="C233" s="15" t="s">
        <v>1342</v>
      </c>
      <c r="D233" s="16"/>
      <c r="E233" s="16" t="s">
        <v>3352</v>
      </c>
      <c r="F233" s="16" t="s">
        <v>3353</v>
      </c>
      <c r="G233" s="16" t="str">
        <f>_xlfn.XLOOKUP( C233,RAW_DATA!B:B, RAW_DATA!Q:Q, "NOT FOUND" )</f>
        <v>2-s2.0-85199701123</v>
      </c>
      <c r="H233" s="1" t="b">
        <f t="shared" si="0"/>
        <v>0</v>
      </c>
      <c r="I233" s="1" t="b">
        <f t="shared" si="1"/>
        <v>0</v>
      </c>
    </row>
    <row r="234" spans="1:9" ht="15.75" customHeight="1">
      <c r="A234" s="14"/>
      <c r="B234" s="15" t="s">
        <v>1346</v>
      </c>
      <c r="C234" s="15" t="s">
        <v>1347</v>
      </c>
      <c r="D234" s="16"/>
      <c r="E234" s="16" t="s">
        <v>3352</v>
      </c>
      <c r="F234" s="16" t="s">
        <v>3353</v>
      </c>
      <c r="G234" s="16" t="str">
        <f>_xlfn.XLOOKUP( C234,RAW_DATA!B:B, RAW_DATA!Q:Q, "NOT FOUND" )</f>
        <v>2-s2.0-85093655086</v>
      </c>
      <c r="H234" s="1" t="b">
        <f t="shared" si="0"/>
        <v>0</v>
      </c>
      <c r="I234" s="1" t="b">
        <f t="shared" si="1"/>
        <v>0</v>
      </c>
    </row>
    <row r="235" spans="1:9" ht="15.75" customHeight="1">
      <c r="A235" s="14"/>
      <c r="B235" s="15" t="s">
        <v>1351</v>
      </c>
      <c r="C235" s="15" t="s">
        <v>1352</v>
      </c>
      <c r="D235" s="16"/>
      <c r="E235" s="16" t="s">
        <v>3352</v>
      </c>
      <c r="F235" s="16" t="s">
        <v>3353</v>
      </c>
      <c r="G235" s="16" t="str">
        <f>_xlfn.XLOOKUP( C235,RAW_DATA!B:B, RAW_DATA!Q:Q, "NOT FOUND" )</f>
        <v>2-s2.0-85052551737</v>
      </c>
      <c r="H235" s="1" t="b">
        <f t="shared" si="0"/>
        <v>0</v>
      </c>
      <c r="I235" s="1" t="b">
        <f t="shared" si="1"/>
        <v>0</v>
      </c>
    </row>
    <row r="236" spans="1:9" ht="15.75" customHeight="1">
      <c r="A236" s="14"/>
      <c r="B236" s="15" t="s">
        <v>1356</v>
      </c>
      <c r="C236" s="15" t="s">
        <v>1357</v>
      </c>
      <c r="D236" s="16"/>
      <c r="E236" s="16" t="s">
        <v>3353</v>
      </c>
      <c r="F236" s="16" t="s">
        <v>3353</v>
      </c>
      <c r="G236" s="16" t="str">
        <f>_xlfn.XLOOKUP( C236,RAW_DATA!B:B, RAW_DATA!Q:Q, "NOT FOUND" )</f>
        <v>2-s2.0-85097546728</v>
      </c>
      <c r="H236" s="1" t="b">
        <f t="shared" si="0"/>
        <v>0</v>
      </c>
      <c r="I236" s="1" t="b">
        <f t="shared" si="1"/>
        <v>0</v>
      </c>
    </row>
    <row r="237" spans="1:9" ht="15.75" customHeight="1">
      <c r="A237" s="14"/>
      <c r="B237" s="15" t="s">
        <v>1362</v>
      </c>
      <c r="C237" s="15" t="s">
        <v>1363</v>
      </c>
      <c r="D237" s="16"/>
      <c r="E237" s="16" t="s">
        <v>3352</v>
      </c>
      <c r="F237" s="16" t="s">
        <v>3353</v>
      </c>
      <c r="G237" s="16" t="str">
        <f>_xlfn.XLOOKUP( C237,RAW_DATA!B:B, RAW_DATA!Q:Q, "NOT FOUND" )</f>
        <v>2-s2.0-85072024696</v>
      </c>
      <c r="H237" s="1" t="b">
        <f t="shared" si="0"/>
        <v>0</v>
      </c>
      <c r="I237" s="1" t="b">
        <f t="shared" si="1"/>
        <v>0</v>
      </c>
    </row>
    <row r="238" spans="1:9" ht="15.75" customHeight="1">
      <c r="A238" s="14"/>
      <c r="B238" s="15" t="s">
        <v>1367</v>
      </c>
      <c r="C238" s="15" t="s">
        <v>1368</v>
      </c>
      <c r="D238" s="16"/>
      <c r="E238" s="16" t="s">
        <v>3352</v>
      </c>
      <c r="F238" s="16" t="s">
        <v>3353</v>
      </c>
      <c r="G238" s="16" t="str">
        <f>_xlfn.XLOOKUP( C238,RAW_DATA!B:B, RAW_DATA!Q:Q, "NOT FOUND" )</f>
        <v>2-s2.0-85049102071</v>
      </c>
      <c r="H238" s="1" t="b">
        <f t="shared" si="0"/>
        <v>0</v>
      </c>
      <c r="I238" s="1" t="b">
        <f t="shared" si="1"/>
        <v>0</v>
      </c>
    </row>
    <row r="239" spans="1:9" ht="15.75" customHeight="1">
      <c r="A239" s="14"/>
      <c r="B239" s="15" t="s">
        <v>1372</v>
      </c>
      <c r="C239" s="15" t="s">
        <v>1373</v>
      </c>
      <c r="D239" s="16"/>
      <c r="E239" s="16" t="s">
        <v>3353</v>
      </c>
      <c r="F239" s="16" t="s">
        <v>3353</v>
      </c>
      <c r="G239" s="16" t="str">
        <f>_xlfn.XLOOKUP( C239,RAW_DATA!B:B, RAW_DATA!Q:Q, "NOT FOUND" )</f>
        <v>2-s2.0-84958984172</v>
      </c>
      <c r="H239" s="1" t="b">
        <f t="shared" si="0"/>
        <v>0</v>
      </c>
      <c r="I239" s="1" t="b">
        <f t="shared" si="1"/>
        <v>0</v>
      </c>
    </row>
    <row r="240" spans="1:9" ht="15.75" customHeight="1">
      <c r="A240" s="14"/>
      <c r="B240" s="15" t="s">
        <v>1377</v>
      </c>
      <c r="C240" s="15" t="s">
        <v>1378</v>
      </c>
      <c r="D240" s="16"/>
      <c r="E240" s="16" t="s">
        <v>3352</v>
      </c>
      <c r="F240" s="16" t="s">
        <v>3353</v>
      </c>
      <c r="G240" s="16" t="str">
        <f>_xlfn.XLOOKUP( C240,RAW_DATA!B:B, RAW_DATA!Q:Q, "NOT FOUND" )</f>
        <v>2-s2.0-85135736888</v>
      </c>
      <c r="H240" s="1" t="b">
        <f t="shared" si="0"/>
        <v>0</v>
      </c>
      <c r="I240" s="1" t="b">
        <f t="shared" si="1"/>
        <v>0</v>
      </c>
    </row>
    <row r="241" spans="1:9" ht="15.75" customHeight="1">
      <c r="A241" s="14" t="s">
        <v>3395</v>
      </c>
      <c r="B241" s="15" t="s">
        <v>1383</v>
      </c>
      <c r="C241" s="15" t="s">
        <v>1384</v>
      </c>
      <c r="D241" s="16" t="s">
        <v>3355</v>
      </c>
      <c r="E241" s="16" t="s">
        <v>3352</v>
      </c>
      <c r="F241" s="16" t="s">
        <v>3352</v>
      </c>
      <c r="G241" s="16" t="str">
        <f>_xlfn.XLOOKUP( C241,RAW_DATA!B:B, RAW_DATA!Q:Q, "NOT FOUND" )</f>
        <v>2-s2.0-85209564808</v>
      </c>
      <c r="H241" s="1" t="b">
        <f t="shared" si="0"/>
        <v>0</v>
      </c>
      <c r="I241" s="1" t="b">
        <f t="shared" si="1"/>
        <v>0</v>
      </c>
    </row>
    <row r="242" spans="1:9" ht="15.75" customHeight="1">
      <c r="A242" s="14"/>
      <c r="B242" s="15" t="s">
        <v>1389</v>
      </c>
      <c r="C242" s="15" t="s">
        <v>1390</v>
      </c>
      <c r="D242" s="16"/>
      <c r="E242" s="16" t="s">
        <v>3352</v>
      </c>
      <c r="F242" s="16" t="s">
        <v>3353</v>
      </c>
      <c r="G242" s="16" t="str">
        <f>_xlfn.XLOOKUP( C242,RAW_DATA!B:B, RAW_DATA!Q:Q, "NOT FOUND" )</f>
        <v>2-s2.0-85129255112</v>
      </c>
      <c r="H242" s="1" t="b">
        <f t="shared" si="0"/>
        <v>0</v>
      </c>
      <c r="I242" s="1" t="b">
        <f t="shared" si="1"/>
        <v>0</v>
      </c>
    </row>
    <row r="243" spans="1:9" ht="15.75" customHeight="1">
      <c r="A243" s="14"/>
      <c r="B243" s="15" t="s">
        <v>1394</v>
      </c>
      <c r="C243" s="15" t="s">
        <v>1395</v>
      </c>
      <c r="D243" s="16"/>
      <c r="E243" s="16" t="s">
        <v>3353</v>
      </c>
      <c r="F243" s="16" t="s">
        <v>3353</v>
      </c>
      <c r="G243" s="16" t="str">
        <f>_xlfn.XLOOKUP( C243,RAW_DATA!B:B, RAW_DATA!Q:Q, "NOT FOUND" )</f>
        <v>2-s2.0-85050634839</v>
      </c>
      <c r="H243" s="1" t="b">
        <f t="shared" si="0"/>
        <v>0</v>
      </c>
      <c r="I243" s="1" t="b">
        <f t="shared" si="1"/>
        <v>0</v>
      </c>
    </row>
    <row r="244" spans="1:9" ht="15.75" customHeight="1">
      <c r="A244" s="14"/>
      <c r="B244" s="15" t="s">
        <v>1400</v>
      </c>
      <c r="C244" s="15" t="s">
        <v>1401</v>
      </c>
      <c r="D244" s="16"/>
      <c r="E244" s="16" t="s">
        <v>3352</v>
      </c>
      <c r="F244" s="16" t="s">
        <v>3353</v>
      </c>
      <c r="G244" s="16" t="str">
        <f>_xlfn.XLOOKUP( C244,RAW_DATA!B:B, RAW_DATA!Q:Q, "NOT FOUND" )</f>
        <v>2-s2.0-85078422859</v>
      </c>
      <c r="H244" s="1" t="b">
        <f t="shared" si="0"/>
        <v>0</v>
      </c>
      <c r="I244" s="1" t="b">
        <f t="shared" si="1"/>
        <v>0</v>
      </c>
    </row>
    <row r="245" spans="1:9" ht="15.75" customHeight="1">
      <c r="A245" s="14"/>
      <c r="B245" s="15" t="s">
        <v>1405</v>
      </c>
      <c r="C245" s="15" t="s">
        <v>1406</v>
      </c>
      <c r="D245" s="16"/>
      <c r="E245" s="16" t="s">
        <v>3353</v>
      </c>
      <c r="F245" s="16" t="s">
        <v>3353</v>
      </c>
      <c r="G245" s="16" t="str">
        <f>_xlfn.XLOOKUP( C245,RAW_DATA!B:B, RAW_DATA!Q:Q, "NOT FOUND" )</f>
        <v>2-s2.0-85137274188</v>
      </c>
      <c r="H245" s="1" t="b">
        <f t="shared" si="0"/>
        <v>0</v>
      </c>
      <c r="I245" s="1" t="b">
        <f t="shared" si="1"/>
        <v>0</v>
      </c>
    </row>
    <row r="246" spans="1:9" ht="15.75" customHeight="1">
      <c r="A246" s="14"/>
      <c r="B246" s="15" t="s">
        <v>1411</v>
      </c>
      <c r="C246" s="15" t="s">
        <v>1412</v>
      </c>
      <c r="D246" s="16"/>
      <c r="E246" s="16" t="s">
        <v>3352</v>
      </c>
      <c r="F246" s="16" t="s">
        <v>3353</v>
      </c>
      <c r="G246" s="16" t="str">
        <f>_xlfn.XLOOKUP( C246,RAW_DATA!B:B, RAW_DATA!Q:Q, "NOT FOUND" )</f>
        <v>2-s2.0-85042292772</v>
      </c>
      <c r="H246" s="1" t="b">
        <f t="shared" si="0"/>
        <v>0</v>
      </c>
      <c r="I246" s="1" t="b">
        <f t="shared" si="1"/>
        <v>0</v>
      </c>
    </row>
    <row r="247" spans="1:9" ht="15.75" customHeight="1">
      <c r="A247" s="14"/>
      <c r="B247" s="15" t="s">
        <v>1416</v>
      </c>
      <c r="C247" s="15" t="s">
        <v>1417</v>
      </c>
      <c r="D247" s="16"/>
      <c r="E247" s="16" t="s">
        <v>3353</v>
      </c>
      <c r="F247" s="16" t="s">
        <v>3353</v>
      </c>
      <c r="G247" s="16" t="str">
        <f>_xlfn.XLOOKUP( C247,RAW_DATA!B:B, RAW_DATA!Q:Q, "NOT FOUND" )</f>
        <v>2-s2.0-85205497414</v>
      </c>
      <c r="H247" s="1" t="b">
        <f t="shared" si="0"/>
        <v>0</v>
      </c>
      <c r="I247" s="1" t="b">
        <f t="shared" si="1"/>
        <v>0</v>
      </c>
    </row>
    <row r="248" spans="1:9" ht="15.75" customHeight="1">
      <c r="A248" s="14"/>
      <c r="B248" s="15" t="s">
        <v>1423</v>
      </c>
      <c r="C248" s="15" t="s">
        <v>1424</v>
      </c>
      <c r="D248" s="16"/>
      <c r="E248" s="16" t="s">
        <v>3352</v>
      </c>
      <c r="F248" s="16" t="s">
        <v>3353</v>
      </c>
      <c r="G248" s="16" t="str">
        <f>_xlfn.XLOOKUP( C248,RAW_DATA!B:B, RAW_DATA!Q:Q, "NOT FOUND" )</f>
        <v>2-s2.0-85081932473</v>
      </c>
      <c r="H248" s="1" t="b">
        <f t="shared" si="0"/>
        <v>0</v>
      </c>
      <c r="I248" s="1" t="b">
        <f t="shared" si="1"/>
        <v>0</v>
      </c>
    </row>
    <row r="249" spans="1:9" ht="15.75" customHeight="1">
      <c r="A249" s="14"/>
      <c r="B249" s="15" t="s">
        <v>1428</v>
      </c>
      <c r="C249" s="15" t="s">
        <v>1429</v>
      </c>
      <c r="D249" s="16"/>
      <c r="E249" s="16" t="s">
        <v>3352</v>
      </c>
      <c r="F249" s="16" t="s">
        <v>3353</v>
      </c>
      <c r="G249" s="16" t="str">
        <f>_xlfn.XLOOKUP( C249,RAW_DATA!B:B, RAW_DATA!Q:Q, "NOT FOUND" )</f>
        <v>2-s2.0-85069666626</v>
      </c>
      <c r="H249" s="1" t="b">
        <f t="shared" si="0"/>
        <v>0</v>
      </c>
      <c r="I249" s="1" t="b">
        <f t="shared" si="1"/>
        <v>0</v>
      </c>
    </row>
    <row r="250" spans="1:9" ht="15.75" customHeight="1">
      <c r="A250" s="14"/>
      <c r="B250" s="15" t="s">
        <v>1434</v>
      </c>
      <c r="C250" s="15" t="s">
        <v>1435</v>
      </c>
      <c r="D250" s="16"/>
      <c r="E250" s="16" t="s">
        <v>3353</v>
      </c>
      <c r="F250" s="16" t="s">
        <v>3353</v>
      </c>
      <c r="G250" s="16" t="str">
        <f>_xlfn.XLOOKUP( C250,RAW_DATA!B:B, RAW_DATA!Q:Q, "NOT FOUND" )</f>
        <v>2-s2.0-85030539014</v>
      </c>
      <c r="H250" s="1" t="b">
        <f t="shared" si="0"/>
        <v>0</v>
      </c>
      <c r="I250" s="1" t="b">
        <f t="shared" si="1"/>
        <v>0</v>
      </c>
    </row>
    <row r="251" spans="1:9" ht="15.75" customHeight="1">
      <c r="A251" s="14"/>
      <c r="B251" s="15" t="s">
        <v>1440</v>
      </c>
      <c r="C251" s="15" t="s">
        <v>1441</v>
      </c>
      <c r="D251" s="16"/>
      <c r="E251" s="16" t="s">
        <v>3353</v>
      </c>
      <c r="F251" s="16" t="s">
        <v>3353</v>
      </c>
      <c r="G251" s="16" t="str">
        <f>_xlfn.XLOOKUP( C251,RAW_DATA!B:B, RAW_DATA!Q:Q, "NOT FOUND" )</f>
        <v>2-s2.0-85069704029</v>
      </c>
      <c r="H251" s="1" t="b">
        <f t="shared" si="0"/>
        <v>0</v>
      </c>
      <c r="I251" s="1" t="b">
        <f t="shared" si="1"/>
        <v>0</v>
      </c>
    </row>
    <row r="252" spans="1:9" ht="15.75" customHeight="1">
      <c r="A252" s="14"/>
      <c r="B252" s="15" t="s">
        <v>1446</v>
      </c>
      <c r="C252" s="15" t="s">
        <v>1447</v>
      </c>
      <c r="D252" s="16"/>
      <c r="E252" s="16" t="s">
        <v>3352</v>
      </c>
      <c r="F252" s="16" t="s">
        <v>3353</v>
      </c>
      <c r="G252" s="16" t="str">
        <f>_xlfn.XLOOKUP( C252,RAW_DATA!B:B, RAW_DATA!Q:Q, "NOT FOUND" )</f>
        <v>2-s2.0-85097488342</v>
      </c>
      <c r="H252" s="1" t="b">
        <f t="shared" si="0"/>
        <v>0</v>
      </c>
      <c r="I252" s="1" t="b">
        <f t="shared" si="1"/>
        <v>0</v>
      </c>
    </row>
    <row r="253" spans="1:9" ht="15.75" customHeight="1">
      <c r="A253" s="14"/>
      <c r="B253" s="15" t="s">
        <v>1452</v>
      </c>
      <c r="C253" s="15" t="s">
        <v>1453</v>
      </c>
      <c r="D253" s="16"/>
      <c r="E253" s="16" t="s">
        <v>3352</v>
      </c>
      <c r="F253" s="16" t="s">
        <v>3353</v>
      </c>
      <c r="G253" s="16" t="str">
        <f>_xlfn.XLOOKUP( C253,RAW_DATA!B:B, RAW_DATA!Q:Q, "NOT FOUND" )</f>
        <v>2-s2.0-85082506595</v>
      </c>
      <c r="H253" s="1" t="b">
        <f t="shared" si="0"/>
        <v>0</v>
      </c>
      <c r="I253" s="1" t="b">
        <f t="shared" si="1"/>
        <v>0</v>
      </c>
    </row>
    <row r="254" spans="1:9" ht="15.75" customHeight="1">
      <c r="A254" s="14"/>
      <c r="B254" s="15" t="s">
        <v>1457</v>
      </c>
      <c r="C254" s="15" t="s">
        <v>1458</v>
      </c>
      <c r="D254" s="16"/>
      <c r="E254" s="16" t="s">
        <v>3352</v>
      </c>
      <c r="F254" s="16" t="s">
        <v>3353</v>
      </c>
      <c r="G254" s="16" t="str">
        <f>_xlfn.XLOOKUP( C254,RAW_DATA!B:B, RAW_DATA!Q:Q, "NOT FOUND" )</f>
        <v>2-s2.0-85067605849</v>
      </c>
      <c r="H254" s="1" t="b">
        <f t="shared" si="0"/>
        <v>0</v>
      </c>
      <c r="I254" s="1" t="b">
        <f t="shared" si="1"/>
        <v>0</v>
      </c>
    </row>
    <row r="255" spans="1:9" ht="15.75" customHeight="1">
      <c r="A255" s="14" t="s">
        <v>3396</v>
      </c>
      <c r="B255" s="15" t="s">
        <v>1462</v>
      </c>
      <c r="C255" s="15" t="s">
        <v>1463</v>
      </c>
      <c r="D255" s="16" t="s">
        <v>3359</v>
      </c>
      <c r="E255" s="16" t="s">
        <v>3352</v>
      </c>
      <c r="F255" s="16" t="s">
        <v>3352</v>
      </c>
      <c r="G255" s="16" t="str">
        <f>_xlfn.XLOOKUP( C255,RAW_DATA!B:B, RAW_DATA!Q:Q, "NOT FOUND" )</f>
        <v>2-s2.0-85115023302</v>
      </c>
      <c r="H255" s="1" t="b">
        <f t="shared" si="0"/>
        <v>0</v>
      </c>
      <c r="I255" s="1" t="b">
        <f t="shared" si="1"/>
        <v>0</v>
      </c>
    </row>
    <row r="256" spans="1:9" ht="15.75" customHeight="1">
      <c r="A256" s="14"/>
      <c r="B256" s="15" t="s">
        <v>1467</v>
      </c>
      <c r="C256" s="15" t="s">
        <v>1468</v>
      </c>
      <c r="D256" s="16"/>
      <c r="E256" s="16" t="s">
        <v>3353</v>
      </c>
      <c r="F256" s="16" t="s">
        <v>3353</v>
      </c>
      <c r="G256" s="16" t="str">
        <f>_xlfn.XLOOKUP( C256,RAW_DATA!B:B, RAW_DATA!Q:Q, "NOT FOUND" )</f>
        <v>2-s2.0-85101914299</v>
      </c>
      <c r="H256" s="1" t="b">
        <f t="shared" si="0"/>
        <v>0</v>
      </c>
      <c r="I256" s="1" t="b">
        <f t="shared" si="1"/>
        <v>0</v>
      </c>
    </row>
    <row r="257" spans="1:9" ht="15.75" customHeight="1">
      <c r="A257" s="14"/>
      <c r="B257" s="15" t="s">
        <v>1473</v>
      </c>
      <c r="C257" s="15" t="s">
        <v>1474</v>
      </c>
      <c r="D257" s="16"/>
      <c r="E257" s="16" t="s">
        <v>3352</v>
      </c>
      <c r="F257" s="16" t="s">
        <v>3353</v>
      </c>
      <c r="G257" s="16" t="str">
        <f>_xlfn.XLOOKUP( C257,RAW_DATA!B:B, RAW_DATA!Q:Q, "NOT FOUND" )</f>
        <v>2-s2.0-85101424299</v>
      </c>
      <c r="H257" s="1" t="b">
        <f t="shared" ref="H257:H511" si="2">COUNTIF( G:G, G257 ) &gt; 1</f>
        <v>0</v>
      </c>
      <c r="I257" s="1" t="b">
        <f t="shared" ref="I257:I511" si="3">COUNTIF( C:C, C257 ) &gt; 1</f>
        <v>0</v>
      </c>
    </row>
    <row r="258" spans="1:9" ht="15.75" customHeight="1">
      <c r="A258" s="14"/>
      <c r="B258" s="15" t="s">
        <v>1478</v>
      </c>
      <c r="C258" s="15" t="s">
        <v>1479</v>
      </c>
      <c r="D258" s="16"/>
      <c r="E258" s="16" t="s">
        <v>3353</v>
      </c>
      <c r="F258" s="16" t="s">
        <v>3353</v>
      </c>
      <c r="G258" s="16" t="str">
        <f>_xlfn.XLOOKUP( C258,RAW_DATA!B:B, RAW_DATA!Q:Q, "NOT FOUND" )</f>
        <v>2-s2.0-85074133005</v>
      </c>
      <c r="H258" s="1" t="b">
        <f t="shared" si="2"/>
        <v>0</v>
      </c>
      <c r="I258" s="1" t="b">
        <f t="shared" si="3"/>
        <v>0</v>
      </c>
    </row>
    <row r="259" spans="1:9" ht="15.75" customHeight="1">
      <c r="A259" s="14"/>
      <c r="B259" s="15" t="s">
        <v>1484</v>
      </c>
      <c r="C259" s="15" t="s">
        <v>1485</v>
      </c>
      <c r="D259" s="16"/>
      <c r="E259" s="16" t="s">
        <v>3352</v>
      </c>
      <c r="F259" s="16" t="s">
        <v>3353</v>
      </c>
      <c r="G259" s="16" t="str">
        <f>_xlfn.XLOOKUP( C259,RAW_DATA!B:B, RAW_DATA!Q:Q, "NOT FOUND" )</f>
        <v>2-s2.0-85111997161</v>
      </c>
      <c r="H259" s="1" t="b">
        <f t="shared" si="2"/>
        <v>0</v>
      </c>
      <c r="I259" s="1" t="b">
        <f t="shared" si="3"/>
        <v>0</v>
      </c>
    </row>
    <row r="260" spans="1:9" ht="15.75" customHeight="1">
      <c r="A260" s="14"/>
      <c r="B260" s="15" t="s">
        <v>1489</v>
      </c>
      <c r="C260" s="15" t="s">
        <v>1490</v>
      </c>
      <c r="D260" s="16"/>
      <c r="E260" s="16" t="s">
        <v>3353</v>
      </c>
      <c r="F260" s="16" t="s">
        <v>3353</v>
      </c>
      <c r="G260" s="16" t="str">
        <f>_xlfn.XLOOKUP( C260,RAW_DATA!B:B, RAW_DATA!Q:Q, "NOT FOUND" )</f>
        <v>2-s2.0-85014787300</v>
      </c>
      <c r="H260" s="1" t="b">
        <f t="shared" si="2"/>
        <v>0</v>
      </c>
      <c r="I260" s="1" t="b">
        <f t="shared" si="3"/>
        <v>0</v>
      </c>
    </row>
    <row r="261" spans="1:9" ht="15.75" customHeight="1">
      <c r="A261" s="14"/>
      <c r="B261" s="15" t="s">
        <v>1495</v>
      </c>
      <c r="C261" s="15" t="s">
        <v>1496</v>
      </c>
      <c r="D261" s="16"/>
      <c r="E261" s="16" t="s">
        <v>3353</v>
      </c>
      <c r="F261" s="16" t="s">
        <v>3353</v>
      </c>
      <c r="G261" s="16" t="str">
        <f>_xlfn.XLOOKUP( C261,RAW_DATA!B:B, RAW_DATA!Q:Q, "NOT FOUND" )</f>
        <v>2-s2.0-85092943616</v>
      </c>
      <c r="H261" s="1" t="b">
        <f t="shared" si="2"/>
        <v>0</v>
      </c>
      <c r="I261" s="1" t="b">
        <f t="shared" si="3"/>
        <v>0</v>
      </c>
    </row>
    <row r="262" spans="1:9" ht="15.75" customHeight="1">
      <c r="A262" s="14"/>
      <c r="B262" s="15" t="s">
        <v>1500</v>
      </c>
      <c r="C262" s="15" t="s">
        <v>1501</v>
      </c>
      <c r="D262" s="16"/>
      <c r="E262" s="16" t="s">
        <v>3353</v>
      </c>
      <c r="F262" s="16" t="s">
        <v>3353</v>
      </c>
      <c r="G262" s="16" t="str">
        <f>_xlfn.XLOOKUP( C262,RAW_DATA!B:B, RAW_DATA!Q:Q, "NOT FOUND" )</f>
        <v>2-s2.0-85102815956</v>
      </c>
      <c r="H262" s="1" t="b">
        <f t="shared" si="2"/>
        <v>0</v>
      </c>
      <c r="I262" s="1" t="b">
        <f t="shared" si="3"/>
        <v>0</v>
      </c>
    </row>
    <row r="263" spans="1:9" ht="15.75" customHeight="1">
      <c r="A263" s="14" t="s">
        <v>3397</v>
      </c>
      <c r="B263" s="15" t="s">
        <v>1505</v>
      </c>
      <c r="C263" s="15" t="s">
        <v>1506</v>
      </c>
      <c r="D263" s="16" t="s">
        <v>3359</v>
      </c>
      <c r="E263" s="16" t="s">
        <v>3352</v>
      </c>
      <c r="F263" s="16" t="s">
        <v>3352</v>
      </c>
      <c r="G263" s="16" t="str">
        <f>_xlfn.XLOOKUP( C263,RAW_DATA!B:B, RAW_DATA!Q:Q, "NOT FOUND" )</f>
        <v>2-s2.0-85054654173</v>
      </c>
      <c r="H263" s="1" t="b">
        <f t="shared" si="2"/>
        <v>0</v>
      </c>
      <c r="I263" s="1" t="b">
        <f t="shared" si="3"/>
        <v>0</v>
      </c>
    </row>
    <row r="264" spans="1:9" ht="15.75" customHeight="1">
      <c r="A264" s="14"/>
      <c r="B264" s="15" t="s">
        <v>1511</v>
      </c>
      <c r="C264" s="15" t="s">
        <v>1512</v>
      </c>
      <c r="D264" s="16"/>
      <c r="E264" s="16" t="s">
        <v>3353</v>
      </c>
      <c r="F264" s="16" t="s">
        <v>3353</v>
      </c>
      <c r="G264" s="16" t="str">
        <f>_xlfn.XLOOKUP( C264,RAW_DATA!B:B, RAW_DATA!Q:Q, "NOT FOUND" )</f>
        <v>2-s2.0-84995549544</v>
      </c>
      <c r="H264" s="1" t="b">
        <f t="shared" si="2"/>
        <v>0</v>
      </c>
      <c r="I264" s="1" t="b">
        <f t="shared" si="3"/>
        <v>0</v>
      </c>
    </row>
    <row r="265" spans="1:9" ht="15.75" customHeight="1">
      <c r="A265" s="14"/>
      <c r="B265" s="15" t="s">
        <v>1516</v>
      </c>
      <c r="C265" s="15" t="s">
        <v>1517</v>
      </c>
      <c r="D265" s="16"/>
      <c r="E265" s="16" t="s">
        <v>3352</v>
      </c>
      <c r="F265" s="16" t="s">
        <v>3353</v>
      </c>
      <c r="G265" s="16" t="str">
        <f>_xlfn.XLOOKUP( C265,RAW_DATA!B:B, RAW_DATA!Q:Q, "NOT FOUND" )</f>
        <v>2-s2.0-85130928576</v>
      </c>
      <c r="H265" s="1" t="b">
        <f t="shared" si="2"/>
        <v>0</v>
      </c>
      <c r="I265" s="1" t="b">
        <f t="shared" si="3"/>
        <v>0</v>
      </c>
    </row>
    <row r="266" spans="1:9" ht="15.75" customHeight="1">
      <c r="A266" s="14"/>
      <c r="B266" s="15" t="s">
        <v>1522</v>
      </c>
      <c r="C266" s="15" t="s">
        <v>1523</v>
      </c>
      <c r="D266" s="16"/>
      <c r="E266" s="16" t="s">
        <v>3353</v>
      </c>
      <c r="F266" s="16" t="s">
        <v>3353</v>
      </c>
      <c r="G266" s="16" t="str">
        <f>_xlfn.XLOOKUP( C266,RAW_DATA!B:B, RAW_DATA!Q:Q, "NOT FOUND" )</f>
        <v>2-s2.0-85102286778</v>
      </c>
      <c r="H266" s="1" t="b">
        <f t="shared" si="2"/>
        <v>0</v>
      </c>
      <c r="I266" s="1" t="b">
        <f t="shared" si="3"/>
        <v>0</v>
      </c>
    </row>
    <row r="267" spans="1:9" ht="15.75" customHeight="1">
      <c r="A267" s="14"/>
      <c r="B267" s="15" t="s">
        <v>1528</v>
      </c>
      <c r="C267" s="15" t="s">
        <v>1529</v>
      </c>
      <c r="D267" s="16"/>
      <c r="E267" s="16" t="s">
        <v>3352</v>
      </c>
      <c r="F267" s="16" t="s">
        <v>3353</v>
      </c>
      <c r="G267" s="16" t="str">
        <f>_xlfn.XLOOKUP( C267,RAW_DATA!B:B, RAW_DATA!Q:Q, "NOT FOUND" )</f>
        <v>2-s2.0-85002692647</v>
      </c>
      <c r="H267" s="1" t="b">
        <f t="shared" si="2"/>
        <v>0</v>
      </c>
      <c r="I267" s="1" t="b">
        <f t="shared" si="3"/>
        <v>0</v>
      </c>
    </row>
    <row r="268" spans="1:9" ht="15.75" customHeight="1">
      <c r="A268" s="14"/>
      <c r="B268" s="15" t="s">
        <v>1534</v>
      </c>
      <c r="C268" s="15" t="s">
        <v>1535</v>
      </c>
      <c r="D268" s="16"/>
      <c r="E268" s="16" t="s">
        <v>3352</v>
      </c>
      <c r="F268" s="16" t="s">
        <v>3353</v>
      </c>
      <c r="G268" s="16" t="str">
        <f>_xlfn.XLOOKUP( C268,RAW_DATA!B:B, RAW_DATA!Q:Q, "NOT FOUND" )</f>
        <v>2-s2.0-85122494941</v>
      </c>
      <c r="H268" s="1" t="b">
        <f t="shared" si="2"/>
        <v>0</v>
      </c>
      <c r="I268" s="1" t="b">
        <f t="shared" si="3"/>
        <v>0</v>
      </c>
    </row>
    <row r="269" spans="1:9" ht="15.75" customHeight="1">
      <c r="A269" s="14"/>
      <c r="B269" s="15" t="s">
        <v>1540</v>
      </c>
      <c r="C269" s="15" t="s">
        <v>1541</v>
      </c>
      <c r="D269" s="16"/>
      <c r="E269" s="16" t="s">
        <v>3352</v>
      </c>
      <c r="F269" s="16" t="s">
        <v>3353</v>
      </c>
      <c r="G269" s="16" t="str">
        <f>_xlfn.XLOOKUP( C269,RAW_DATA!B:B, RAW_DATA!Q:Q, "NOT FOUND" )</f>
        <v>2-s2.0-84961958101</v>
      </c>
      <c r="H269" s="1" t="b">
        <f t="shared" si="2"/>
        <v>0</v>
      </c>
      <c r="I269" s="1" t="b">
        <f t="shared" si="3"/>
        <v>0</v>
      </c>
    </row>
    <row r="270" spans="1:9" ht="15.75" customHeight="1">
      <c r="A270" s="14"/>
      <c r="B270" s="15" t="s">
        <v>1545</v>
      </c>
      <c r="C270" s="15" t="s">
        <v>1546</v>
      </c>
      <c r="D270" s="16"/>
      <c r="E270" s="16" t="s">
        <v>3352</v>
      </c>
      <c r="F270" s="16" t="s">
        <v>3353</v>
      </c>
      <c r="G270" s="16" t="str">
        <f>_xlfn.XLOOKUP( C270,RAW_DATA!B:B, RAW_DATA!Q:Q, "NOT FOUND" )</f>
        <v>2-s2.0-85114670734</v>
      </c>
      <c r="H270" s="1" t="b">
        <f t="shared" si="2"/>
        <v>0</v>
      </c>
      <c r="I270" s="1" t="b">
        <f t="shared" si="3"/>
        <v>0</v>
      </c>
    </row>
    <row r="271" spans="1:9" ht="15.75" customHeight="1">
      <c r="A271" s="14"/>
      <c r="B271" s="15" t="s">
        <v>1551</v>
      </c>
      <c r="C271" s="15" t="s">
        <v>1552</v>
      </c>
      <c r="D271" s="16"/>
      <c r="E271" s="16" t="s">
        <v>3352</v>
      </c>
      <c r="F271" s="16" t="s">
        <v>3353</v>
      </c>
      <c r="G271" s="16" t="str">
        <f>_xlfn.XLOOKUP( C271,RAW_DATA!B:B, RAW_DATA!Q:Q, "NOT FOUND" )</f>
        <v>2-s2.0-85052054745</v>
      </c>
      <c r="H271" s="1" t="b">
        <f t="shared" si="2"/>
        <v>0</v>
      </c>
      <c r="I271" s="1" t="b">
        <f t="shared" si="3"/>
        <v>0</v>
      </c>
    </row>
    <row r="272" spans="1:9" ht="15.75" customHeight="1">
      <c r="A272" s="14"/>
      <c r="B272" s="15" t="s">
        <v>1556</v>
      </c>
      <c r="C272" s="15" t="s">
        <v>1557</v>
      </c>
      <c r="D272" s="16"/>
      <c r="E272" s="16" t="s">
        <v>3353</v>
      </c>
      <c r="F272" s="16" t="s">
        <v>3353</v>
      </c>
      <c r="G272" s="16" t="str">
        <f>_xlfn.XLOOKUP( C272,RAW_DATA!B:B, RAW_DATA!Q:Q, "NOT FOUND" )</f>
        <v>2-s2.0-85008929683</v>
      </c>
      <c r="H272" s="1" t="b">
        <f t="shared" si="2"/>
        <v>0</v>
      </c>
      <c r="I272" s="1" t="b">
        <f t="shared" si="3"/>
        <v>0</v>
      </c>
    </row>
    <row r="273" spans="1:9" ht="15.75" customHeight="1">
      <c r="A273" s="14"/>
      <c r="B273" s="15" t="s">
        <v>1561</v>
      </c>
      <c r="C273" s="15" t="s">
        <v>1562</v>
      </c>
      <c r="D273" s="16"/>
      <c r="E273" s="16" t="s">
        <v>3353</v>
      </c>
      <c r="F273" s="16" t="s">
        <v>3353</v>
      </c>
      <c r="G273" s="16" t="str">
        <f>_xlfn.XLOOKUP( C273,RAW_DATA!B:B, RAW_DATA!Q:Q, "NOT FOUND" )</f>
        <v>2-s2.0-85086255999</v>
      </c>
      <c r="H273" s="1" t="b">
        <f t="shared" si="2"/>
        <v>0</v>
      </c>
      <c r="I273" s="1" t="b">
        <f t="shared" si="3"/>
        <v>0</v>
      </c>
    </row>
    <row r="274" spans="1:9" ht="15.75" customHeight="1">
      <c r="A274" s="14"/>
      <c r="B274" s="15" t="s">
        <v>1566</v>
      </c>
      <c r="C274" s="15" t="s">
        <v>1567</v>
      </c>
      <c r="D274" s="16"/>
      <c r="E274" s="16" t="s">
        <v>3352</v>
      </c>
      <c r="F274" s="16" t="s">
        <v>3353</v>
      </c>
      <c r="G274" s="16" t="str">
        <f>_xlfn.XLOOKUP( C274,RAW_DATA!B:B, RAW_DATA!Q:Q, "NOT FOUND" )</f>
        <v>2-s2.0-85184414357</v>
      </c>
      <c r="H274" s="1" t="b">
        <f t="shared" si="2"/>
        <v>0</v>
      </c>
      <c r="I274" s="1" t="b">
        <f t="shared" si="3"/>
        <v>0</v>
      </c>
    </row>
    <row r="275" spans="1:9" ht="15.75" customHeight="1">
      <c r="A275" s="14"/>
      <c r="B275" s="15" t="s">
        <v>1572</v>
      </c>
      <c r="C275" s="15" t="s">
        <v>1573</v>
      </c>
      <c r="D275" s="16"/>
      <c r="E275" s="16" t="s">
        <v>3353</v>
      </c>
      <c r="F275" s="16" t="s">
        <v>3353</v>
      </c>
      <c r="G275" s="16" t="str">
        <f>_xlfn.XLOOKUP( C275,RAW_DATA!B:B, RAW_DATA!Q:Q, "NOT FOUND" )</f>
        <v>2-s2.0-85133005705</v>
      </c>
      <c r="H275" s="1" t="b">
        <f t="shared" si="2"/>
        <v>0</v>
      </c>
      <c r="I275" s="1" t="b">
        <f t="shared" si="3"/>
        <v>0</v>
      </c>
    </row>
    <row r="276" spans="1:9" ht="15.75" customHeight="1">
      <c r="A276" s="14"/>
      <c r="B276" s="15" t="s">
        <v>1577</v>
      </c>
      <c r="C276" s="15" t="s">
        <v>1578</v>
      </c>
      <c r="D276" s="16"/>
      <c r="E276" s="16" t="s">
        <v>3352</v>
      </c>
      <c r="F276" s="16" t="s">
        <v>3353</v>
      </c>
      <c r="G276" s="16" t="str">
        <f>_xlfn.XLOOKUP( C276,RAW_DATA!B:B, RAW_DATA!Q:Q, "NOT FOUND" )</f>
        <v>2-s2.0-85061194212</v>
      </c>
      <c r="H276" s="1" t="b">
        <f t="shared" si="2"/>
        <v>0</v>
      </c>
      <c r="I276" s="1" t="b">
        <f t="shared" si="3"/>
        <v>0</v>
      </c>
    </row>
    <row r="277" spans="1:9" ht="15.75" customHeight="1">
      <c r="A277" s="14"/>
      <c r="B277" s="15" t="s">
        <v>1582</v>
      </c>
      <c r="C277" s="15" t="s">
        <v>1583</v>
      </c>
      <c r="D277" s="16"/>
      <c r="E277" s="16" t="s">
        <v>3353</v>
      </c>
      <c r="F277" s="16" t="s">
        <v>3353</v>
      </c>
      <c r="G277" s="16" t="str">
        <f>_xlfn.XLOOKUP( C277,RAW_DATA!B:B, RAW_DATA!Q:Q, "NOT FOUND" )</f>
        <v>2-s2.0-85089382514</v>
      </c>
      <c r="H277" s="1" t="b">
        <f t="shared" si="2"/>
        <v>0</v>
      </c>
      <c r="I277" s="1" t="b">
        <f t="shared" si="3"/>
        <v>0</v>
      </c>
    </row>
    <row r="278" spans="1:9" ht="15.75" customHeight="1">
      <c r="A278" s="14"/>
      <c r="B278" s="15" t="s">
        <v>1588</v>
      </c>
      <c r="C278" s="15" t="s">
        <v>1589</v>
      </c>
      <c r="D278" s="16"/>
      <c r="E278" s="16" t="s">
        <v>3352</v>
      </c>
      <c r="F278" s="16" t="s">
        <v>3353</v>
      </c>
      <c r="G278" s="16" t="str">
        <f>_xlfn.XLOOKUP( C278,RAW_DATA!B:B, RAW_DATA!Q:Q, "NOT FOUND" )</f>
        <v>2-s2.0-85090277691</v>
      </c>
      <c r="H278" s="1" t="b">
        <f t="shared" si="2"/>
        <v>0</v>
      </c>
      <c r="I278" s="1" t="b">
        <f t="shared" si="3"/>
        <v>0</v>
      </c>
    </row>
    <row r="279" spans="1:9" ht="15.75" customHeight="1">
      <c r="A279" s="14"/>
      <c r="B279" s="15" t="s">
        <v>1594</v>
      </c>
      <c r="C279" s="15" t="s">
        <v>1595</v>
      </c>
      <c r="D279" s="16"/>
      <c r="E279" s="16" t="s">
        <v>3353</v>
      </c>
      <c r="F279" s="16" t="s">
        <v>3353</v>
      </c>
      <c r="G279" s="16" t="str">
        <f>_xlfn.XLOOKUP( C279,RAW_DATA!B:B, RAW_DATA!Q:Q, "NOT FOUND" )</f>
        <v>2-s2.0-85108301390</v>
      </c>
      <c r="H279" s="1" t="b">
        <f t="shared" si="2"/>
        <v>0</v>
      </c>
      <c r="I279" s="1" t="b">
        <f t="shared" si="3"/>
        <v>0</v>
      </c>
    </row>
    <row r="280" spans="1:9" ht="15.75" customHeight="1">
      <c r="A280" s="14"/>
      <c r="B280" s="15" t="s">
        <v>1400</v>
      </c>
      <c r="C280" s="15" t="s">
        <v>1600</v>
      </c>
      <c r="D280" s="16"/>
      <c r="E280" s="16" t="s">
        <v>3353</v>
      </c>
      <c r="F280" s="16" t="s">
        <v>3353</v>
      </c>
      <c r="G280" s="16" t="str">
        <f>_xlfn.XLOOKUP( C280,RAW_DATA!B:B, RAW_DATA!Q:Q, "NOT FOUND" )</f>
        <v>2-s2.0-85093644827</v>
      </c>
      <c r="H280" s="1" t="b">
        <f t="shared" si="2"/>
        <v>0</v>
      </c>
      <c r="I280" s="1" t="b">
        <f t="shared" si="3"/>
        <v>0</v>
      </c>
    </row>
    <row r="281" spans="1:9" ht="15.75" customHeight="1">
      <c r="A281" s="14"/>
      <c r="B281" s="15" t="s">
        <v>1604</v>
      </c>
      <c r="C281" s="15" t="s">
        <v>1605</v>
      </c>
      <c r="D281" s="16"/>
      <c r="E281" s="16" t="s">
        <v>3353</v>
      </c>
      <c r="F281" s="16" t="s">
        <v>3353</v>
      </c>
      <c r="G281" s="16" t="str">
        <f>_xlfn.XLOOKUP( C281,RAW_DATA!B:B, RAW_DATA!Q:Q, "NOT FOUND" )</f>
        <v>2-s2.0-85082391144</v>
      </c>
      <c r="H281" s="1" t="b">
        <f t="shared" si="2"/>
        <v>0</v>
      </c>
      <c r="I281" s="1" t="b">
        <f t="shared" si="3"/>
        <v>0</v>
      </c>
    </row>
    <row r="282" spans="1:9" ht="15.75" customHeight="1">
      <c r="A282" s="14"/>
      <c r="B282" s="15" t="s">
        <v>1609</v>
      </c>
      <c r="C282" s="15" t="s">
        <v>1610</v>
      </c>
      <c r="D282" s="16"/>
      <c r="E282" s="16" t="s">
        <v>3352</v>
      </c>
      <c r="F282" s="16" t="s">
        <v>3353</v>
      </c>
      <c r="G282" s="16" t="str">
        <f>_xlfn.XLOOKUP( C282,RAW_DATA!B:B, RAW_DATA!Q:Q, "NOT FOUND" )</f>
        <v>2-s2.0-85044055607</v>
      </c>
      <c r="H282" s="1" t="b">
        <f t="shared" si="2"/>
        <v>0</v>
      </c>
      <c r="I282" s="1" t="b">
        <f t="shared" si="3"/>
        <v>0</v>
      </c>
    </row>
    <row r="283" spans="1:9" ht="15.75" customHeight="1">
      <c r="A283" s="14"/>
      <c r="B283" s="15" t="s">
        <v>1615</v>
      </c>
      <c r="C283" s="15" t="s">
        <v>1616</v>
      </c>
      <c r="D283" s="16"/>
      <c r="E283" s="16" t="s">
        <v>3353</v>
      </c>
      <c r="F283" s="16" t="s">
        <v>3353</v>
      </c>
      <c r="G283" s="16" t="str">
        <f>_xlfn.XLOOKUP( C283,RAW_DATA!B:B, RAW_DATA!Q:Q, "NOT FOUND" )</f>
        <v>2-s2.0-85037609872</v>
      </c>
      <c r="H283" s="1" t="b">
        <f t="shared" si="2"/>
        <v>0</v>
      </c>
      <c r="I283" s="1" t="b">
        <f t="shared" si="3"/>
        <v>0</v>
      </c>
    </row>
    <row r="284" spans="1:9" ht="15.75" customHeight="1">
      <c r="A284" s="14"/>
      <c r="B284" s="15" t="s">
        <v>1620</v>
      </c>
      <c r="C284" s="15" t="s">
        <v>1621</v>
      </c>
      <c r="D284" s="16"/>
      <c r="E284" s="16" t="s">
        <v>3353</v>
      </c>
      <c r="F284" s="16" t="s">
        <v>3353</v>
      </c>
      <c r="G284" s="16" t="str">
        <f>_xlfn.XLOOKUP( C284,RAW_DATA!B:B, RAW_DATA!Q:Q, "NOT FOUND" )</f>
        <v>2-s2.0-85031761393</v>
      </c>
      <c r="H284" s="1" t="b">
        <f t="shared" si="2"/>
        <v>0</v>
      </c>
      <c r="I284" s="1" t="b">
        <f t="shared" si="3"/>
        <v>0</v>
      </c>
    </row>
    <row r="285" spans="1:9" ht="15.75" customHeight="1">
      <c r="A285" s="14"/>
      <c r="B285" s="15" t="s">
        <v>1625</v>
      </c>
      <c r="C285" s="15" t="s">
        <v>1626</v>
      </c>
      <c r="D285" s="16"/>
      <c r="E285" s="16" t="s">
        <v>3353</v>
      </c>
      <c r="F285" s="16" t="s">
        <v>3353</v>
      </c>
      <c r="G285" s="16" t="str">
        <f>_xlfn.XLOOKUP( C285,RAW_DATA!B:B, RAW_DATA!Q:Q, "NOT FOUND" )</f>
        <v>2-s2.0-85095935369</v>
      </c>
      <c r="H285" s="1" t="b">
        <f t="shared" si="2"/>
        <v>0</v>
      </c>
      <c r="I285" s="1" t="b">
        <f t="shared" si="3"/>
        <v>0</v>
      </c>
    </row>
    <row r="286" spans="1:9" ht="15.75" customHeight="1">
      <c r="A286" s="14"/>
      <c r="B286" s="15" t="s">
        <v>1630</v>
      </c>
      <c r="C286" s="15" t="s">
        <v>1631</v>
      </c>
      <c r="D286" s="16"/>
      <c r="E286" s="16" t="s">
        <v>3352</v>
      </c>
      <c r="F286" s="16" t="s">
        <v>3353</v>
      </c>
      <c r="G286" s="16" t="str">
        <f>_xlfn.XLOOKUP( C286,RAW_DATA!B:B, RAW_DATA!Q:Q, "NOT FOUND" )</f>
        <v>2-s2.0-85172093963</v>
      </c>
      <c r="H286" s="1" t="b">
        <f t="shared" si="2"/>
        <v>0</v>
      </c>
      <c r="I286" s="1" t="b">
        <f t="shared" si="3"/>
        <v>0</v>
      </c>
    </row>
    <row r="287" spans="1:9" ht="15.75" customHeight="1">
      <c r="A287" s="14"/>
      <c r="B287" s="15" t="s">
        <v>1636</v>
      </c>
      <c r="C287" s="15" t="s">
        <v>1637</v>
      </c>
      <c r="D287" s="16"/>
      <c r="E287" s="16" t="s">
        <v>3352</v>
      </c>
      <c r="F287" s="16" t="s">
        <v>3353</v>
      </c>
      <c r="G287" s="16" t="str">
        <f>_xlfn.XLOOKUP( C287,RAW_DATA!B:B, RAW_DATA!Q:Q, "NOT FOUND" )</f>
        <v>2-s2.0-85122124821</v>
      </c>
      <c r="H287" s="1" t="b">
        <f t="shared" si="2"/>
        <v>0</v>
      </c>
      <c r="I287" s="1" t="b">
        <f t="shared" si="3"/>
        <v>0</v>
      </c>
    </row>
    <row r="288" spans="1:9" ht="15.75" customHeight="1">
      <c r="A288" s="14"/>
      <c r="B288" s="15" t="s">
        <v>1641</v>
      </c>
      <c r="C288" s="15" t="s">
        <v>1642</v>
      </c>
      <c r="D288" s="16"/>
      <c r="E288" s="16" t="s">
        <v>3353</v>
      </c>
      <c r="F288" s="16" t="s">
        <v>3353</v>
      </c>
      <c r="G288" s="16" t="str">
        <f>_xlfn.XLOOKUP( C288,RAW_DATA!B:B, RAW_DATA!Q:Q, "NOT FOUND" )</f>
        <v>2-s2.0-85057032964</v>
      </c>
      <c r="H288" s="1" t="b">
        <f t="shared" si="2"/>
        <v>0</v>
      </c>
      <c r="I288" s="1" t="b">
        <f t="shared" si="3"/>
        <v>0</v>
      </c>
    </row>
    <row r="289" spans="1:9" ht="15.75" customHeight="1">
      <c r="A289" s="14"/>
      <c r="B289" s="15" t="s">
        <v>1646</v>
      </c>
      <c r="C289" s="15" t="s">
        <v>1647</v>
      </c>
      <c r="D289" s="16"/>
      <c r="E289" s="16" t="s">
        <v>3353</v>
      </c>
      <c r="F289" s="16" t="s">
        <v>3353</v>
      </c>
      <c r="G289" s="16" t="str">
        <f>_xlfn.XLOOKUP( C289,RAW_DATA!B:B, RAW_DATA!Q:Q, "NOT FOUND" )</f>
        <v>2-s2.0-85070583742</v>
      </c>
      <c r="H289" s="1" t="b">
        <f t="shared" si="2"/>
        <v>0</v>
      </c>
      <c r="I289" s="1" t="b">
        <f t="shared" si="3"/>
        <v>0</v>
      </c>
    </row>
    <row r="290" spans="1:9" ht="15.75" customHeight="1">
      <c r="A290" s="14"/>
      <c r="B290" s="15" t="s">
        <v>1652</v>
      </c>
      <c r="C290" s="15" t="s">
        <v>1653</v>
      </c>
      <c r="D290" s="16"/>
      <c r="E290" s="16" t="s">
        <v>3352</v>
      </c>
      <c r="F290" s="16" t="s">
        <v>3353</v>
      </c>
      <c r="G290" s="16" t="str">
        <f>_xlfn.XLOOKUP( C290,RAW_DATA!B:B, RAW_DATA!Q:Q, "NOT FOUND" )</f>
        <v>2-s2.0-85070524303</v>
      </c>
      <c r="H290" s="1" t="b">
        <f t="shared" si="2"/>
        <v>0</v>
      </c>
      <c r="I290" s="1" t="b">
        <f t="shared" si="3"/>
        <v>0</v>
      </c>
    </row>
    <row r="291" spans="1:9" ht="15.75" customHeight="1">
      <c r="A291" s="14"/>
      <c r="B291" s="15" t="s">
        <v>1658</v>
      </c>
      <c r="C291" s="15" t="s">
        <v>1659</v>
      </c>
      <c r="D291" s="16"/>
      <c r="E291" s="16" t="s">
        <v>3353</v>
      </c>
      <c r="F291" s="16" t="s">
        <v>3353</v>
      </c>
      <c r="G291" s="16" t="str">
        <f>_xlfn.XLOOKUP( C291,RAW_DATA!B:B, RAW_DATA!Q:Q, "NOT FOUND" )</f>
        <v>2-s2.0-85099483182</v>
      </c>
      <c r="H291" s="1" t="b">
        <f t="shared" si="2"/>
        <v>0</v>
      </c>
      <c r="I291" s="1" t="b">
        <f t="shared" si="3"/>
        <v>0</v>
      </c>
    </row>
    <row r="292" spans="1:9" ht="15.75" customHeight="1">
      <c r="A292" s="14"/>
      <c r="B292" s="15" t="s">
        <v>1663</v>
      </c>
      <c r="C292" s="15" t="s">
        <v>1664</v>
      </c>
      <c r="D292" s="16"/>
      <c r="E292" s="16" t="s">
        <v>3352</v>
      </c>
      <c r="F292" s="16" t="s">
        <v>3353</v>
      </c>
      <c r="G292" s="16" t="str">
        <f>_xlfn.XLOOKUP( C292,RAW_DATA!B:B, RAW_DATA!Q:Q, "NOT FOUND" )</f>
        <v>2-s2.0-85091716104</v>
      </c>
      <c r="H292" s="1" t="b">
        <f t="shared" si="2"/>
        <v>0</v>
      </c>
      <c r="I292" s="1" t="b">
        <f t="shared" si="3"/>
        <v>0</v>
      </c>
    </row>
    <row r="293" spans="1:9" ht="15.75" customHeight="1">
      <c r="A293" s="14"/>
      <c r="B293" s="15" t="s">
        <v>1669</v>
      </c>
      <c r="C293" s="15" t="s">
        <v>1670</v>
      </c>
      <c r="D293" s="16"/>
      <c r="E293" s="16" t="s">
        <v>3353</v>
      </c>
      <c r="F293" s="16" t="s">
        <v>3353</v>
      </c>
      <c r="G293" s="16" t="str">
        <f>_xlfn.XLOOKUP( C293,RAW_DATA!B:B, RAW_DATA!Q:Q, "NOT FOUND" )</f>
        <v>2-s2.0-85137156399</v>
      </c>
      <c r="H293" s="1" t="b">
        <f t="shared" si="2"/>
        <v>0</v>
      </c>
      <c r="I293" s="1" t="b">
        <f t="shared" si="3"/>
        <v>0</v>
      </c>
    </row>
    <row r="294" spans="1:9" ht="15.75" customHeight="1">
      <c r="A294" s="14"/>
      <c r="B294" s="15" t="s">
        <v>1675</v>
      </c>
      <c r="C294" s="15" t="s">
        <v>1676</v>
      </c>
      <c r="D294" s="16"/>
      <c r="E294" s="16" t="s">
        <v>3352</v>
      </c>
      <c r="F294" s="16" t="s">
        <v>3353</v>
      </c>
      <c r="G294" s="16" t="str">
        <f>_xlfn.XLOOKUP( C294,RAW_DATA!B:B, RAW_DATA!Q:Q, "NOT FOUND" )</f>
        <v>2-s2.0-85089946573</v>
      </c>
      <c r="H294" s="1" t="b">
        <f t="shared" si="2"/>
        <v>0</v>
      </c>
      <c r="I294" s="1" t="b">
        <f t="shared" si="3"/>
        <v>0</v>
      </c>
    </row>
    <row r="295" spans="1:9" ht="15.75" customHeight="1">
      <c r="A295" s="14"/>
      <c r="B295" s="15" t="s">
        <v>1680</v>
      </c>
      <c r="C295" s="15" t="s">
        <v>1681</v>
      </c>
      <c r="D295" s="16"/>
      <c r="E295" s="16" t="s">
        <v>3353</v>
      </c>
      <c r="F295" s="16" t="s">
        <v>3353</v>
      </c>
      <c r="G295" s="16" t="str">
        <f>_xlfn.XLOOKUP( C295,RAW_DATA!B:B, RAW_DATA!Q:Q, "NOT FOUND" )</f>
        <v>2-s2.0-85139441963</v>
      </c>
      <c r="H295" s="1" t="b">
        <f t="shared" si="2"/>
        <v>0</v>
      </c>
      <c r="I295" s="1" t="b">
        <f t="shared" si="3"/>
        <v>0</v>
      </c>
    </row>
    <row r="296" spans="1:9" ht="15.75" customHeight="1">
      <c r="A296" s="14"/>
      <c r="B296" s="15" t="s">
        <v>1686</v>
      </c>
      <c r="C296" s="15" t="s">
        <v>1687</v>
      </c>
      <c r="D296" s="16"/>
      <c r="E296" s="16" t="s">
        <v>3353</v>
      </c>
      <c r="F296" s="16" t="s">
        <v>3353</v>
      </c>
      <c r="G296" s="16" t="str">
        <f>_xlfn.XLOOKUP( C296,RAW_DATA!B:B, RAW_DATA!Q:Q, "NOT FOUND" )</f>
        <v>2-s2.0-85098865213</v>
      </c>
      <c r="H296" s="1" t="b">
        <f t="shared" si="2"/>
        <v>0</v>
      </c>
      <c r="I296" s="1" t="b">
        <f t="shared" si="3"/>
        <v>0</v>
      </c>
    </row>
    <row r="297" spans="1:9" ht="15.75" customHeight="1">
      <c r="A297" s="14"/>
      <c r="B297" s="15" t="s">
        <v>1691</v>
      </c>
      <c r="C297" s="15" t="s">
        <v>1692</v>
      </c>
      <c r="D297" s="16"/>
      <c r="E297" s="16" t="s">
        <v>3352</v>
      </c>
      <c r="F297" s="16" t="s">
        <v>3353</v>
      </c>
      <c r="G297" s="16" t="str">
        <f>_xlfn.XLOOKUP( C297,RAW_DATA!B:B, RAW_DATA!Q:Q, "NOT FOUND" )</f>
        <v>2-s2.0-85114681718</v>
      </c>
      <c r="H297" s="1" t="b">
        <f t="shared" si="2"/>
        <v>0</v>
      </c>
      <c r="I297" s="1" t="b">
        <f t="shared" si="3"/>
        <v>0</v>
      </c>
    </row>
    <row r="298" spans="1:9" ht="15.75" customHeight="1">
      <c r="A298" s="14"/>
      <c r="B298" s="15" t="s">
        <v>1696</v>
      </c>
      <c r="C298" s="15" t="s">
        <v>1697</v>
      </c>
      <c r="D298" s="16"/>
      <c r="E298" s="16" t="s">
        <v>3353</v>
      </c>
      <c r="F298" s="16" t="s">
        <v>3353</v>
      </c>
      <c r="G298" s="16" t="str">
        <f>_xlfn.XLOOKUP( C298,RAW_DATA!B:B, RAW_DATA!Q:Q, "NOT FOUND" )</f>
        <v>2-s2.0-85059003210</v>
      </c>
      <c r="H298" s="1" t="b">
        <f t="shared" si="2"/>
        <v>0</v>
      </c>
      <c r="I298" s="1" t="b">
        <f t="shared" si="3"/>
        <v>0</v>
      </c>
    </row>
    <row r="299" spans="1:9" ht="15.75" customHeight="1">
      <c r="A299" s="14"/>
      <c r="B299" s="15" t="s">
        <v>1702</v>
      </c>
      <c r="C299" s="15" t="s">
        <v>1703</v>
      </c>
      <c r="D299" s="16"/>
      <c r="E299" s="16" t="s">
        <v>3352</v>
      </c>
      <c r="F299" s="16" t="s">
        <v>3353</v>
      </c>
      <c r="G299" s="16" t="str">
        <f>_xlfn.XLOOKUP( C299,RAW_DATA!B:B, RAW_DATA!Q:Q, "NOT FOUND" )</f>
        <v>2-s2.0-85098779553</v>
      </c>
      <c r="H299" s="1" t="b">
        <f t="shared" si="2"/>
        <v>0</v>
      </c>
      <c r="I299" s="1" t="b">
        <f t="shared" si="3"/>
        <v>0</v>
      </c>
    </row>
    <row r="300" spans="1:9" ht="15.75" customHeight="1">
      <c r="A300" s="14"/>
      <c r="B300" s="15" t="s">
        <v>1708</v>
      </c>
      <c r="C300" s="15" t="s">
        <v>1709</v>
      </c>
      <c r="D300" s="16"/>
      <c r="E300" s="16" t="s">
        <v>3353</v>
      </c>
      <c r="F300" s="16" t="s">
        <v>3353</v>
      </c>
      <c r="G300" s="16" t="str">
        <f>_xlfn.XLOOKUP( C300,RAW_DATA!B:B, RAW_DATA!Q:Q, "NOT FOUND" )</f>
        <v>2-s2.0-84969142058</v>
      </c>
      <c r="H300" s="1" t="b">
        <f t="shared" si="2"/>
        <v>0</v>
      </c>
      <c r="I300" s="1" t="b">
        <f t="shared" si="3"/>
        <v>0</v>
      </c>
    </row>
    <row r="301" spans="1:9" ht="15.75" customHeight="1">
      <c r="A301" s="14"/>
      <c r="B301" s="15" t="s">
        <v>1714</v>
      </c>
      <c r="C301" s="15" t="s">
        <v>1715</v>
      </c>
      <c r="D301" s="16"/>
      <c r="E301" s="16" t="s">
        <v>3353</v>
      </c>
      <c r="F301" s="16" t="s">
        <v>3353</v>
      </c>
      <c r="G301" s="16" t="str">
        <f>_xlfn.XLOOKUP( C301,RAW_DATA!B:B, RAW_DATA!Q:Q, "NOT FOUND" )</f>
        <v>2-s2.0-85045673057</v>
      </c>
      <c r="H301" s="1" t="b">
        <f t="shared" si="2"/>
        <v>0</v>
      </c>
      <c r="I301" s="1" t="b">
        <f t="shared" si="3"/>
        <v>0</v>
      </c>
    </row>
    <row r="302" spans="1:9" ht="15.75" customHeight="1">
      <c r="A302" s="14"/>
      <c r="B302" s="15" t="s">
        <v>1719</v>
      </c>
      <c r="C302" s="15" t="s">
        <v>1720</v>
      </c>
      <c r="D302" s="16"/>
      <c r="E302" s="16" t="s">
        <v>3353</v>
      </c>
      <c r="F302" s="16" t="s">
        <v>3353</v>
      </c>
      <c r="G302" s="16" t="str">
        <f>_xlfn.XLOOKUP( C302,RAW_DATA!B:B, RAW_DATA!Q:Q, "NOT FOUND" )</f>
        <v>2-s2.0-85159939806</v>
      </c>
      <c r="H302" s="1" t="b">
        <f t="shared" si="2"/>
        <v>0</v>
      </c>
      <c r="I302" s="1" t="b">
        <f t="shared" si="3"/>
        <v>0</v>
      </c>
    </row>
    <row r="303" spans="1:9" ht="15.75" customHeight="1">
      <c r="A303" s="14"/>
      <c r="B303" s="15" t="s">
        <v>1725</v>
      </c>
      <c r="C303" s="15" t="s">
        <v>1726</v>
      </c>
      <c r="D303" s="16"/>
      <c r="E303" s="16" t="s">
        <v>3353</v>
      </c>
      <c r="F303" s="16" t="s">
        <v>3353</v>
      </c>
      <c r="G303" s="16" t="str">
        <f>_xlfn.XLOOKUP( C303,RAW_DATA!B:B, RAW_DATA!Q:Q, "NOT FOUND" )</f>
        <v>2-s2.0-105005752482</v>
      </c>
      <c r="H303" s="1" t="b">
        <f t="shared" si="2"/>
        <v>0</v>
      </c>
      <c r="I303" s="1" t="b">
        <f t="shared" si="3"/>
        <v>0</v>
      </c>
    </row>
    <row r="304" spans="1:9" ht="15.75" customHeight="1">
      <c r="A304" s="14"/>
      <c r="B304" s="15" t="s">
        <v>1731</v>
      </c>
      <c r="C304" s="15" t="s">
        <v>1732</v>
      </c>
      <c r="D304" s="16"/>
      <c r="E304" s="16" t="s">
        <v>3353</v>
      </c>
      <c r="F304" s="16" t="s">
        <v>3353</v>
      </c>
      <c r="G304" s="16" t="str">
        <f>_xlfn.XLOOKUP( C304,RAW_DATA!B:B, RAW_DATA!Q:Q, "NOT FOUND" )</f>
        <v>2-s2.0-85213814650</v>
      </c>
      <c r="H304" s="1" t="b">
        <f t="shared" si="2"/>
        <v>0</v>
      </c>
      <c r="I304" s="1" t="b">
        <f t="shared" si="3"/>
        <v>0</v>
      </c>
    </row>
    <row r="305" spans="1:9" ht="15.75" customHeight="1">
      <c r="A305" s="1" t="s">
        <v>3398</v>
      </c>
      <c r="B305" s="15" t="s">
        <v>1736</v>
      </c>
      <c r="C305" s="15" t="s">
        <v>1737</v>
      </c>
      <c r="D305" s="16" t="s">
        <v>3359</v>
      </c>
      <c r="E305" s="16" t="s">
        <v>3352</v>
      </c>
      <c r="F305" s="16" t="s">
        <v>3352</v>
      </c>
      <c r="G305" s="16" t="str">
        <f>_xlfn.XLOOKUP( C305,RAW_DATA!B:B, RAW_DATA!Q:Q, "NOT FOUND" )</f>
        <v>2-s2.0-85079669663</v>
      </c>
      <c r="H305" s="1" t="b">
        <f t="shared" si="2"/>
        <v>0</v>
      </c>
      <c r="I305" s="1" t="b">
        <f t="shared" si="3"/>
        <v>0</v>
      </c>
    </row>
    <row r="306" spans="1:9" ht="15.75" customHeight="1">
      <c r="A306" s="14"/>
      <c r="B306" s="15" t="s">
        <v>1742</v>
      </c>
      <c r="C306" s="15" t="s">
        <v>1743</v>
      </c>
      <c r="D306" s="16"/>
      <c r="E306" s="16" t="s">
        <v>3352</v>
      </c>
      <c r="F306" s="16" t="s">
        <v>3353</v>
      </c>
      <c r="G306" s="16" t="str">
        <f>_xlfn.XLOOKUP( C306,RAW_DATA!B:B, RAW_DATA!Q:Q, "NOT FOUND" )</f>
        <v>2-s2.0-85123909916</v>
      </c>
      <c r="H306" s="1" t="b">
        <f t="shared" si="2"/>
        <v>0</v>
      </c>
      <c r="I306" s="1" t="b">
        <f t="shared" si="3"/>
        <v>0</v>
      </c>
    </row>
    <row r="307" spans="1:9" ht="15.75" customHeight="1">
      <c r="A307" s="14"/>
      <c r="B307" s="15" t="s">
        <v>1748</v>
      </c>
      <c r="C307" s="15" t="s">
        <v>1749</v>
      </c>
      <c r="D307" s="16"/>
      <c r="E307" s="16" t="s">
        <v>3352</v>
      </c>
      <c r="F307" s="16" t="s">
        <v>3353</v>
      </c>
      <c r="G307" s="16" t="str">
        <f>_xlfn.XLOOKUP( C307,RAW_DATA!B:B, RAW_DATA!Q:Q, "NOT FOUND" )</f>
        <v>2-s2.0-85035324754</v>
      </c>
      <c r="H307" s="1" t="b">
        <f t="shared" si="2"/>
        <v>0</v>
      </c>
      <c r="I307" s="1" t="b">
        <f t="shared" si="3"/>
        <v>0</v>
      </c>
    </row>
    <row r="308" spans="1:9" ht="15.75" customHeight="1">
      <c r="A308" s="14"/>
      <c r="B308" s="15" t="s">
        <v>1753</v>
      </c>
      <c r="C308" s="15" t="s">
        <v>1754</v>
      </c>
      <c r="D308" s="16"/>
      <c r="E308" s="16" t="s">
        <v>3353</v>
      </c>
      <c r="F308" s="16" t="s">
        <v>3353</v>
      </c>
      <c r="G308" s="16" t="str">
        <f>_xlfn.XLOOKUP( C308,RAW_DATA!B:B, RAW_DATA!Q:Q, "NOT FOUND" )</f>
        <v>2-s2.0-85030791171</v>
      </c>
      <c r="H308" s="1" t="b">
        <f t="shared" si="2"/>
        <v>0</v>
      </c>
      <c r="I308" s="1" t="b">
        <f t="shared" si="3"/>
        <v>0</v>
      </c>
    </row>
    <row r="309" spans="1:9" ht="15.75" customHeight="1">
      <c r="A309" s="14"/>
      <c r="B309" s="15" t="s">
        <v>1759</v>
      </c>
      <c r="C309" s="15" t="s">
        <v>1760</v>
      </c>
      <c r="D309" s="16"/>
      <c r="E309" s="16" t="s">
        <v>3353</v>
      </c>
      <c r="F309" s="16" t="s">
        <v>3353</v>
      </c>
      <c r="G309" s="16" t="str">
        <f>_xlfn.XLOOKUP( C309,RAW_DATA!B:B, RAW_DATA!Q:Q, "NOT FOUND" )</f>
        <v>2-s2.0-85140112450</v>
      </c>
      <c r="H309" s="1" t="b">
        <f t="shared" si="2"/>
        <v>0</v>
      </c>
      <c r="I309" s="1" t="b">
        <f t="shared" si="3"/>
        <v>0</v>
      </c>
    </row>
    <row r="310" spans="1:9" ht="15.75" customHeight="1">
      <c r="A310" s="14"/>
      <c r="B310" s="15" t="s">
        <v>1764</v>
      </c>
      <c r="C310" s="15" t="s">
        <v>1765</v>
      </c>
      <c r="D310" s="16"/>
      <c r="E310" s="16" t="s">
        <v>3353</v>
      </c>
      <c r="F310" s="16" t="s">
        <v>3353</v>
      </c>
      <c r="G310" s="16" t="str">
        <f>_xlfn.XLOOKUP( C310,RAW_DATA!B:B, RAW_DATA!Q:Q, "NOT FOUND" )</f>
        <v>2-s2.0-85166241727</v>
      </c>
      <c r="H310" s="1" t="b">
        <f t="shared" si="2"/>
        <v>0</v>
      </c>
      <c r="I310" s="1" t="b">
        <f t="shared" si="3"/>
        <v>0</v>
      </c>
    </row>
    <row r="311" spans="1:9" ht="15.75" customHeight="1">
      <c r="A311" s="14"/>
      <c r="B311" s="15" t="s">
        <v>1769</v>
      </c>
      <c r="C311" s="15" t="s">
        <v>1770</v>
      </c>
      <c r="D311" s="16"/>
      <c r="E311" s="16" t="s">
        <v>3353</v>
      </c>
      <c r="F311" s="16" t="s">
        <v>3353</v>
      </c>
      <c r="G311" s="16" t="str">
        <f>_xlfn.XLOOKUP( C311,RAW_DATA!B:B, RAW_DATA!Q:Q, "NOT FOUND" )</f>
        <v>2-s2.0-85100756933</v>
      </c>
      <c r="H311" s="1" t="b">
        <f t="shared" si="2"/>
        <v>0</v>
      </c>
      <c r="I311" s="1" t="b">
        <f t="shared" si="3"/>
        <v>0</v>
      </c>
    </row>
    <row r="312" spans="1:9" ht="15.75" customHeight="1">
      <c r="A312" s="14"/>
      <c r="B312" s="15" t="s">
        <v>1774</v>
      </c>
      <c r="C312" s="15" t="s">
        <v>1775</v>
      </c>
      <c r="D312" s="16"/>
      <c r="E312" s="16" t="s">
        <v>3353</v>
      </c>
      <c r="F312" s="16" t="s">
        <v>3353</v>
      </c>
      <c r="G312" s="16" t="str">
        <f>_xlfn.XLOOKUP( C312,RAW_DATA!B:B, RAW_DATA!Q:Q, "NOT FOUND" )</f>
        <v>2-s2.0-85100218704</v>
      </c>
      <c r="H312" s="1" t="b">
        <f t="shared" si="2"/>
        <v>0</v>
      </c>
      <c r="I312" s="1" t="b">
        <f t="shared" si="3"/>
        <v>0</v>
      </c>
    </row>
    <row r="313" spans="1:9" ht="15.75" customHeight="1">
      <c r="A313" s="14"/>
      <c r="B313" s="15" t="s">
        <v>1780</v>
      </c>
      <c r="C313" s="15" t="s">
        <v>1781</v>
      </c>
      <c r="D313" s="16"/>
      <c r="E313" s="16" t="s">
        <v>3353</v>
      </c>
      <c r="F313" s="16" t="s">
        <v>3353</v>
      </c>
      <c r="G313" s="16" t="str">
        <f>_xlfn.XLOOKUP( C313,RAW_DATA!B:B, RAW_DATA!Q:Q, "NOT FOUND" )</f>
        <v>2-s2.0-85117886376</v>
      </c>
      <c r="H313" s="1" t="b">
        <f t="shared" si="2"/>
        <v>0</v>
      </c>
      <c r="I313" s="1" t="b">
        <f t="shared" si="3"/>
        <v>0</v>
      </c>
    </row>
    <row r="314" spans="1:9" ht="15.75" customHeight="1">
      <c r="A314" s="14"/>
      <c r="B314" s="15" t="s">
        <v>1786</v>
      </c>
      <c r="C314" s="15" t="s">
        <v>1787</v>
      </c>
      <c r="D314" s="16"/>
      <c r="E314" s="16" t="s">
        <v>3352</v>
      </c>
      <c r="F314" s="16" t="s">
        <v>3353</v>
      </c>
      <c r="G314" s="16" t="str">
        <f>_xlfn.XLOOKUP( C314,RAW_DATA!B:B, RAW_DATA!Q:Q, "NOT FOUND" )</f>
        <v>2-s2.0-85098229577</v>
      </c>
      <c r="H314" s="1" t="b">
        <f t="shared" si="2"/>
        <v>0</v>
      </c>
      <c r="I314" s="1" t="b">
        <f t="shared" si="3"/>
        <v>0</v>
      </c>
    </row>
    <row r="315" spans="1:9" ht="15.75" customHeight="1">
      <c r="A315" s="14"/>
      <c r="B315" s="15" t="s">
        <v>1792</v>
      </c>
      <c r="C315" s="15" t="s">
        <v>1793</v>
      </c>
      <c r="D315" s="16"/>
      <c r="E315" s="16" t="s">
        <v>3352</v>
      </c>
      <c r="F315" s="16" t="s">
        <v>3353</v>
      </c>
      <c r="G315" s="16" t="str">
        <f>_xlfn.XLOOKUP( C315,RAW_DATA!B:B, RAW_DATA!Q:Q, "NOT FOUND" )</f>
        <v>2-s2.0-85106225229</v>
      </c>
      <c r="H315" s="1" t="b">
        <f t="shared" si="2"/>
        <v>0</v>
      </c>
      <c r="I315" s="1" t="b">
        <f t="shared" si="3"/>
        <v>0</v>
      </c>
    </row>
    <row r="316" spans="1:9" ht="15.75" customHeight="1">
      <c r="A316" s="14"/>
      <c r="B316" s="15" t="s">
        <v>1797</v>
      </c>
      <c r="C316" s="15" t="s">
        <v>1798</v>
      </c>
      <c r="D316" s="16"/>
      <c r="E316" s="16" t="s">
        <v>3353</v>
      </c>
      <c r="F316" s="16" t="s">
        <v>3353</v>
      </c>
      <c r="G316" s="16" t="str">
        <f>_xlfn.XLOOKUP( C316,RAW_DATA!B:B, RAW_DATA!Q:Q, "NOT FOUND" )</f>
        <v>2-s2.0-85173998347</v>
      </c>
      <c r="H316" s="1" t="b">
        <f t="shared" si="2"/>
        <v>0</v>
      </c>
      <c r="I316" s="1" t="b">
        <f t="shared" si="3"/>
        <v>0</v>
      </c>
    </row>
    <row r="317" spans="1:9" ht="15.75" customHeight="1">
      <c r="A317" s="14"/>
      <c r="B317" s="15" t="s">
        <v>1803</v>
      </c>
      <c r="C317" s="15" t="s">
        <v>1804</v>
      </c>
      <c r="D317" s="16"/>
      <c r="E317" s="16" t="s">
        <v>3352</v>
      </c>
      <c r="F317" s="16" t="s">
        <v>3353</v>
      </c>
      <c r="G317" s="16" t="str">
        <f>_xlfn.XLOOKUP( C317,RAW_DATA!B:B, RAW_DATA!Q:Q, "NOT FOUND" )</f>
        <v>2-s2.0-85044845157</v>
      </c>
      <c r="H317" s="1" t="b">
        <f t="shared" si="2"/>
        <v>0</v>
      </c>
      <c r="I317" s="1" t="b">
        <f t="shared" si="3"/>
        <v>0</v>
      </c>
    </row>
    <row r="318" spans="1:9" ht="15.75" customHeight="1">
      <c r="A318" s="14"/>
      <c r="B318" s="15" t="s">
        <v>1809</v>
      </c>
      <c r="C318" s="15" t="s">
        <v>1810</v>
      </c>
      <c r="D318" s="16"/>
      <c r="E318" s="16" t="s">
        <v>3353</v>
      </c>
      <c r="F318" s="16" t="s">
        <v>3353</v>
      </c>
      <c r="G318" s="16" t="str">
        <f>_xlfn.XLOOKUP( C318,RAW_DATA!B:B, RAW_DATA!Q:Q, "NOT FOUND" )</f>
        <v>2-s2.0-85131575056</v>
      </c>
      <c r="H318" s="1" t="b">
        <f t="shared" si="2"/>
        <v>0</v>
      </c>
      <c r="I318" s="1" t="b">
        <f t="shared" si="3"/>
        <v>0</v>
      </c>
    </row>
    <row r="319" spans="1:9" ht="15.75" customHeight="1">
      <c r="A319" s="14"/>
      <c r="B319" s="15" t="s">
        <v>1815</v>
      </c>
      <c r="C319" s="15" t="s">
        <v>1816</v>
      </c>
      <c r="D319" s="16"/>
      <c r="E319" s="16" t="s">
        <v>3353</v>
      </c>
      <c r="F319" s="16" t="s">
        <v>3353</v>
      </c>
      <c r="G319" s="16" t="str">
        <f>_xlfn.XLOOKUP( C319,RAW_DATA!B:B, RAW_DATA!Q:Q, "NOT FOUND" )</f>
        <v>2-s2.0-85124837823</v>
      </c>
      <c r="H319" s="1" t="b">
        <f t="shared" si="2"/>
        <v>0</v>
      </c>
      <c r="I319" s="1" t="b">
        <f t="shared" si="3"/>
        <v>0</v>
      </c>
    </row>
    <row r="320" spans="1:9" ht="15.75" customHeight="1">
      <c r="A320" s="14"/>
      <c r="B320" s="15" t="s">
        <v>1821</v>
      </c>
      <c r="C320" s="15" t="s">
        <v>1822</v>
      </c>
      <c r="D320" s="16"/>
      <c r="E320" s="16" t="s">
        <v>3353</v>
      </c>
      <c r="F320" s="16" t="s">
        <v>3353</v>
      </c>
      <c r="G320" s="16" t="str">
        <f>_xlfn.XLOOKUP( C320,RAW_DATA!B:B, RAW_DATA!Q:Q, "NOT FOUND" )</f>
        <v>2-s2.0-85139266683</v>
      </c>
      <c r="H320" s="1" t="b">
        <f t="shared" si="2"/>
        <v>0</v>
      </c>
      <c r="I320" s="1" t="b">
        <f t="shared" si="3"/>
        <v>0</v>
      </c>
    </row>
    <row r="321" spans="1:9" ht="15.75" customHeight="1">
      <c r="A321" s="14"/>
      <c r="B321" s="15" t="s">
        <v>1826</v>
      </c>
      <c r="C321" s="15" t="s">
        <v>1827</v>
      </c>
      <c r="D321" s="16"/>
      <c r="E321" s="16" t="s">
        <v>3353</v>
      </c>
      <c r="F321" s="16" t="s">
        <v>3353</v>
      </c>
      <c r="G321" s="16" t="str">
        <f>_xlfn.XLOOKUP( C321,RAW_DATA!B:B, RAW_DATA!Q:Q, "NOT FOUND" )</f>
        <v>2-s2.0-85108794824</v>
      </c>
      <c r="H321" s="1" t="b">
        <f t="shared" si="2"/>
        <v>0</v>
      </c>
      <c r="I321" s="1" t="b">
        <f t="shared" si="3"/>
        <v>0</v>
      </c>
    </row>
    <row r="322" spans="1:9" ht="15.75" customHeight="1">
      <c r="A322" s="14"/>
      <c r="B322" s="15" t="s">
        <v>1831</v>
      </c>
      <c r="C322" s="15" t="s">
        <v>1832</v>
      </c>
      <c r="D322" s="16"/>
      <c r="E322" s="16" t="s">
        <v>3353</v>
      </c>
      <c r="F322" s="16" t="s">
        <v>3353</v>
      </c>
      <c r="G322" s="16" t="str">
        <f>_xlfn.XLOOKUP( C322,RAW_DATA!B:B, RAW_DATA!Q:Q, "NOT FOUND" )</f>
        <v>2-s2.0-85061065348</v>
      </c>
      <c r="H322" s="1" t="b">
        <f t="shared" si="2"/>
        <v>0</v>
      </c>
      <c r="I322" s="1" t="b">
        <f t="shared" si="3"/>
        <v>0</v>
      </c>
    </row>
    <row r="323" spans="1:9" ht="15.75" customHeight="1">
      <c r="A323" s="14" t="s">
        <v>3399</v>
      </c>
      <c r="B323" s="15" t="s">
        <v>1837</v>
      </c>
      <c r="C323" s="15" t="s">
        <v>1838</v>
      </c>
      <c r="D323" s="16" t="s">
        <v>3355</v>
      </c>
      <c r="E323" s="16" t="s">
        <v>3352</v>
      </c>
      <c r="F323" s="16" t="s">
        <v>3352</v>
      </c>
      <c r="G323" s="16" t="str">
        <f>_xlfn.XLOOKUP( C323,RAW_DATA!B:B, RAW_DATA!Q:Q, "NOT FOUND" )</f>
        <v>2-s2.0-85085653363</v>
      </c>
      <c r="H323" s="1" t="b">
        <f t="shared" si="2"/>
        <v>0</v>
      </c>
      <c r="I323" s="1" t="b">
        <f t="shared" si="3"/>
        <v>0</v>
      </c>
    </row>
    <row r="324" spans="1:9" ht="15.75" customHeight="1">
      <c r="A324" s="14"/>
      <c r="B324" s="15" t="s">
        <v>1842</v>
      </c>
      <c r="C324" s="15" t="s">
        <v>1843</v>
      </c>
      <c r="D324" s="16"/>
      <c r="E324" s="16" t="s">
        <v>3353</v>
      </c>
      <c r="F324" s="16" t="s">
        <v>3353</v>
      </c>
      <c r="G324" s="16" t="str">
        <f>_xlfn.XLOOKUP( C324,RAW_DATA!B:B, RAW_DATA!Q:Q, "NOT FOUND" )</f>
        <v>2-s2.0-85196821140</v>
      </c>
      <c r="H324" s="1" t="b">
        <f t="shared" si="2"/>
        <v>0</v>
      </c>
      <c r="I324" s="1" t="b">
        <f t="shared" si="3"/>
        <v>0</v>
      </c>
    </row>
    <row r="325" spans="1:9" ht="15.75" customHeight="1">
      <c r="A325" s="14"/>
      <c r="B325" s="15" t="s">
        <v>1847</v>
      </c>
      <c r="C325" s="15" t="s">
        <v>1848</v>
      </c>
      <c r="D325" s="16"/>
      <c r="E325" s="16" t="s">
        <v>3353</v>
      </c>
      <c r="F325" s="16" t="s">
        <v>3353</v>
      </c>
      <c r="G325" s="16" t="str">
        <f>_xlfn.XLOOKUP( C325,RAW_DATA!B:B, RAW_DATA!Q:Q, "NOT FOUND" )</f>
        <v>2-s2.0-85141539421</v>
      </c>
      <c r="H325" s="1" t="b">
        <f t="shared" si="2"/>
        <v>0</v>
      </c>
      <c r="I325" s="1" t="b">
        <f t="shared" si="3"/>
        <v>0</v>
      </c>
    </row>
    <row r="326" spans="1:9" ht="15.75" customHeight="1">
      <c r="A326" s="14" t="s">
        <v>3400</v>
      </c>
      <c r="B326" s="15" t="s">
        <v>1853</v>
      </c>
      <c r="C326" s="15" t="s">
        <v>1854</v>
      </c>
      <c r="D326" s="16" t="s">
        <v>3359</v>
      </c>
      <c r="E326" s="16" t="s">
        <v>3352</v>
      </c>
      <c r="F326" s="16" t="s">
        <v>3352</v>
      </c>
      <c r="G326" s="16" t="str">
        <f>_xlfn.XLOOKUP( C326,RAW_DATA!B:B, RAW_DATA!Q:Q, "NOT FOUND" )</f>
        <v>2-s2.0-85129128755</v>
      </c>
      <c r="H326" s="1" t="b">
        <f t="shared" si="2"/>
        <v>0</v>
      </c>
      <c r="I326" s="1" t="b">
        <f t="shared" si="3"/>
        <v>0</v>
      </c>
    </row>
    <row r="327" spans="1:9" ht="15.75" customHeight="1">
      <c r="A327" s="14"/>
      <c r="B327" s="15" t="s">
        <v>1859</v>
      </c>
      <c r="C327" s="15" t="s">
        <v>1860</v>
      </c>
      <c r="D327" s="16"/>
      <c r="E327" s="16" t="s">
        <v>3353</v>
      </c>
      <c r="F327" s="16" t="s">
        <v>3353</v>
      </c>
      <c r="G327" s="16" t="str">
        <f>_xlfn.XLOOKUP( C327,RAW_DATA!B:B, RAW_DATA!Q:Q, "NOT FOUND" )</f>
        <v>2-s2.0-85148513751</v>
      </c>
      <c r="H327" s="1" t="b">
        <f t="shared" si="2"/>
        <v>0</v>
      </c>
      <c r="I327" s="1" t="b">
        <f t="shared" si="3"/>
        <v>0</v>
      </c>
    </row>
    <row r="328" spans="1:9" ht="15.75" customHeight="1">
      <c r="A328" s="14"/>
      <c r="B328" s="15" t="s">
        <v>1865</v>
      </c>
      <c r="C328" s="15" t="s">
        <v>1866</v>
      </c>
      <c r="D328" s="16"/>
      <c r="E328" s="16" t="s">
        <v>3353</v>
      </c>
      <c r="F328" s="16" t="s">
        <v>3353</v>
      </c>
      <c r="G328" s="16" t="str">
        <f>_xlfn.XLOOKUP( C328,RAW_DATA!B:B, RAW_DATA!Q:Q, "NOT FOUND" )</f>
        <v>2-s2.0-85082502614</v>
      </c>
      <c r="H328" s="1" t="b">
        <f t="shared" si="2"/>
        <v>0</v>
      </c>
      <c r="I328" s="1" t="b">
        <f t="shared" si="3"/>
        <v>0</v>
      </c>
    </row>
    <row r="329" spans="1:9" ht="15.75" customHeight="1">
      <c r="A329" s="14"/>
      <c r="B329" s="15" t="s">
        <v>1870</v>
      </c>
      <c r="C329" s="15" t="s">
        <v>1871</v>
      </c>
      <c r="D329" s="16"/>
      <c r="E329" s="16" t="s">
        <v>3352</v>
      </c>
      <c r="F329" s="16" t="s">
        <v>3353</v>
      </c>
      <c r="G329" s="16" t="str">
        <f>_xlfn.XLOOKUP( C329,RAW_DATA!B:B, RAW_DATA!Q:Q, "NOT FOUND" )</f>
        <v>2-s2.0-85086562607</v>
      </c>
      <c r="H329" s="1" t="b">
        <f t="shared" si="2"/>
        <v>0</v>
      </c>
      <c r="I329" s="1" t="b">
        <f t="shared" si="3"/>
        <v>0</v>
      </c>
    </row>
    <row r="330" spans="1:9" ht="15.75" customHeight="1">
      <c r="A330" s="14"/>
      <c r="B330" s="15" t="s">
        <v>1876</v>
      </c>
      <c r="C330" s="15" t="s">
        <v>1877</v>
      </c>
      <c r="D330" s="16"/>
      <c r="E330" s="16" t="s">
        <v>3352</v>
      </c>
      <c r="F330" s="16" t="s">
        <v>3353</v>
      </c>
      <c r="G330" s="16" t="str">
        <f>_xlfn.XLOOKUP( C330,RAW_DATA!B:B, RAW_DATA!Q:Q, "NOT FOUND" )</f>
        <v>2-s2.0-85180462986</v>
      </c>
      <c r="H330" s="1" t="b">
        <f t="shared" si="2"/>
        <v>0</v>
      </c>
      <c r="I330" s="1" t="b">
        <f t="shared" si="3"/>
        <v>0</v>
      </c>
    </row>
    <row r="331" spans="1:9" ht="15.75" customHeight="1">
      <c r="A331" s="14"/>
      <c r="B331" s="15" t="s">
        <v>1882</v>
      </c>
      <c r="C331" s="15" t="s">
        <v>1883</v>
      </c>
      <c r="D331" s="16"/>
      <c r="E331" s="16" t="s">
        <v>3353</v>
      </c>
      <c r="F331" s="16" t="s">
        <v>3353</v>
      </c>
      <c r="G331" s="16" t="str">
        <f>_xlfn.XLOOKUP( C331,RAW_DATA!B:B, RAW_DATA!Q:Q, "NOT FOUND" )</f>
        <v>2-s2.0-85124105454</v>
      </c>
      <c r="H331" s="1" t="b">
        <f t="shared" si="2"/>
        <v>0</v>
      </c>
      <c r="I331" s="1" t="b">
        <f t="shared" si="3"/>
        <v>0</v>
      </c>
    </row>
    <row r="332" spans="1:9" ht="15.75" customHeight="1">
      <c r="A332" s="14"/>
      <c r="B332" s="15" t="s">
        <v>1887</v>
      </c>
      <c r="C332" s="15" t="s">
        <v>1888</v>
      </c>
      <c r="D332" s="16"/>
      <c r="E332" s="16" t="s">
        <v>3353</v>
      </c>
      <c r="F332" s="16" t="s">
        <v>3353</v>
      </c>
      <c r="G332" s="16" t="str">
        <f>_xlfn.XLOOKUP( C332,RAW_DATA!B:B, RAW_DATA!Q:Q, "NOT FOUND" )</f>
        <v>2-s2.0-85139684252</v>
      </c>
      <c r="H332" s="1" t="b">
        <f t="shared" si="2"/>
        <v>0</v>
      </c>
      <c r="I332" s="1" t="b">
        <f t="shared" si="3"/>
        <v>0</v>
      </c>
    </row>
    <row r="333" spans="1:9" ht="15.75" customHeight="1">
      <c r="A333" s="14"/>
      <c r="B333" s="15" t="s">
        <v>1892</v>
      </c>
      <c r="C333" s="15" t="s">
        <v>1893</v>
      </c>
      <c r="D333" s="16"/>
      <c r="E333" s="16" t="s">
        <v>3353</v>
      </c>
      <c r="F333" s="16" t="s">
        <v>3353</v>
      </c>
      <c r="G333" s="16" t="str">
        <f>_xlfn.XLOOKUP( C333,RAW_DATA!B:B, RAW_DATA!Q:Q, "NOT FOUND" )</f>
        <v>2-s2.0-85140140380</v>
      </c>
      <c r="H333" s="1" t="b">
        <f t="shared" si="2"/>
        <v>0</v>
      </c>
      <c r="I333" s="1" t="b">
        <f t="shared" si="3"/>
        <v>0</v>
      </c>
    </row>
    <row r="334" spans="1:9" ht="15.75" customHeight="1">
      <c r="A334" s="14"/>
      <c r="B334" s="15" t="s">
        <v>1898</v>
      </c>
      <c r="C334" s="15" t="s">
        <v>1899</v>
      </c>
      <c r="D334" s="16"/>
      <c r="E334" s="16" t="s">
        <v>3353</v>
      </c>
      <c r="F334" s="16" t="s">
        <v>3353</v>
      </c>
      <c r="G334" s="16" t="str">
        <f>_xlfn.XLOOKUP( C334,RAW_DATA!B:B, RAW_DATA!Q:Q, "NOT FOUND" )</f>
        <v>2-s2.0-85135256466</v>
      </c>
      <c r="H334" s="1" t="b">
        <f t="shared" si="2"/>
        <v>0</v>
      </c>
      <c r="I334" s="1" t="b">
        <f t="shared" si="3"/>
        <v>0</v>
      </c>
    </row>
    <row r="335" spans="1:9" ht="15.75" customHeight="1">
      <c r="A335" s="14"/>
      <c r="B335" s="15" t="s">
        <v>1903</v>
      </c>
      <c r="C335" s="15" t="s">
        <v>1904</v>
      </c>
      <c r="D335" s="16"/>
      <c r="E335" s="16" t="s">
        <v>3353</v>
      </c>
      <c r="F335" s="16" t="s">
        <v>3353</v>
      </c>
      <c r="G335" s="16" t="str">
        <f>_xlfn.XLOOKUP( C335,RAW_DATA!B:B, RAW_DATA!Q:Q, "NOT FOUND" )</f>
        <v>2-s2.0-85046260529</v>
      </c>
      <c r="H335" s="1" t="b">
        <f t="shared" si="2"/>
        <v>0</v>
      </c>
      <c r="I335" s="1" t="b">
        <f t="shared" si="3"/>
        <v>0</v>
      </c>
    </row>
    <row r="336" spans="1:9" ht="15.75" customHeight="1">
      <c r="A336" s="14"/>
      <c r="B336" s="15" t="s">
        <v>1909</v>
      </c>
      <c r="C336" s="15" t="s">
        <v>1910</v>
      </c>
      <c r="D336" s="16"/>
      <c r="E336" s="16" t="s">
        <v>3353</v>
      </c>
      <c r="F336" s="16" t="s">
        <v>3353</v>
      </c>
      <c r="G336" s="16" t="str">
        <f>_xlfn.XLOOKUP( C336,RAW_DATA!B:B, RAW_DATA!Q:Q, "NOT FOUND" )</f>
        <v>2-s2.0-84963766838</v>
      </c>
      <c r="H336" s="1" t="b">
        <f t="shared" si="2"/>
        <v>0</v>
      </c>
      <c r="I336" s="1" t="b">
        <f t="shared" si="3"/>
        <v>0</v>
      </c>
    </row>
    <row r="337" spans="1:9" ht="15.75" customHeight="1">
      <c r="A337" s="14"/>
      <c r="B337" s="15" t="s">
        <v>1914</v>
      </c>
      <c r="C337" s="15" t="s">
        <v>1915</v>
      </c>
      <c r="D337" s="16"/>
      <c r="E337" s="16" t="s">
        <v>3352</v>
      </c>
      <c r="F337" s="16" t="s">
        <v>3353</v>
      </c>
      <c r="G337" s="16" t="str">
        <f>_xlfn.XLOOKUP( C337,RAW_DATA!B:B, RAW_DATA!Q:Q, "NOT FOUND" )</f>
        <v>2-s2.0-85174743148</v>
      </c>
      <c r="H337" s="1" t="b">
        <f t="shared" si="2"/>
        <v>0</v>
      </c>
      <c r="I337" s="1" t="b">
        <f t="shared" si="3"/>
        <v>0</v>
      </c>
    </row>
    <row r="338" spans="1:9" ht="15.75" customHeight="1">
      <c r="A338" s="14"/>
      <c r="B338" s="15" t="s">
        <v>1920</v>
      </c>
      <c r="C338" s="15" t="s">
        <v>1921</v>
      </c>
      <c r="D338" s="16"/>
      <c r="E338" s="16" t="s">
        <v>3352</v>
      </c>
      <c r="F338" s="16" t="s">
        <v>3353</v>
      </c>
      <c r="G338" s="16" t="str">
        <f>_xlfn.XLOOKUP( C338,RAW_DATA!B:B, RAW_DATA!Q:Q, "NOT FOUND" )</f>
        <v>2-s2.0-85132840250</v>
      </c>
      <c r="H338" s="1" t="b">
        <f t="shared" si="2"/>
        <v>0</v>
      </c>
      <c r="I338" s="1" t="b">
        <f t="shared" si="3"/>
        <v>0</v>
      </c>
    </row>
    <row r="339" spans="1:9" ht="15.75" customHeight="1">
      <c r="A339" s="14"/>
      <c r="B339" s="15" t="s">
        <v>1925</v>
      </c>
      <c r="C339" s="15" t="s">
        <v>1926</v>
      </c>
      <c r="D339" s="16"/>
      <c r="E339" s="16" t="s">
        <v>3352</v>
      </c>
      <c r="F339" s="16" t="s">
        <v>3353</v>
      </c>
      <c r="G339" s="16" t="str">
        <f>_xlfn.XLOOKUP( C339,RAW_DATA!B:B, RAW_DATA!Q:Q, "NOT FOUND" )</f>
        <v>2-s2.0-84958654861</v>
      </c>
      <c r="H339" s="1" t="b">
        <f t="shared" si="2"/>
        <v>0</v>
      </c>
      <c r="I339" s="1" t="b">
        <f t="shared" si="3"/>
        <v>0</v>
      </c>
    </row>
    <row r="340" spans="1:9" ht="15.75" customHeight="1">
      <c r="A340" s="14"/>
      <c r="B340" s="15" t="s">
        <v>1930</v>
      </c>
      <c r="C340" s="15" t="s">
        <v>1931</v>
      </c>
      <c r="D340" s="16"/>
      <c r="E340" s="16" t="s">
        <v>3352</v>
      </c>
      <c r="F340" s="16" t="s">
        <v>3353</v>
      </c>
      <c r="G340" s="16" t="str">
        <f>_xlfn.XLOOKUP( C340,RAW_DATA!B:B, RAW_DATA!Q:Q, "NOT FOUND" )</f>
        <v>2-s2.0-85141368885</v>
      </c>
      <c r="H340" s="1" t="b">
        <f t="shared" si="2"/>
        <v>0</v>
      </c>
      <c r="I340" s="1" t="b">
        <f t="shared" si="3"/>
        <v>0</v>
      </c>
    </row>
    <row r="341" spans="1:9" ht="15.75" customHeight="1">
      <c r="A341" s="14"/>
      <c r="B341" s="15" t="s">
        <v>1935</v>
      </c>
      <c r="C341" s="15" t="s">
        <v>1936</v>
      </c>
      <c r="D341" s="16"/>
      <c r="E341" s="16" t="s">
        <v>3352</v>
      </c>
      <c r="F341" s="16" t="s">
        <v>3353</v>
      </c>
      <c r="G341" s="16" t="str">
        <f>_xlfn.XLOOKUP( C341,RAW_DATA!B:B, RAW_DATA!Q:Q, "NOT FOUND" )</f>
        <v>2-s2.0-85127774146</v>
      </c>
      <c r="H341" s="1" t="b">
        <f t="shared" si="2"/>
        <v>0</v>
      </c>
      <c r="I341" s="1" t="b">
        <f t="shared" si="3"/>
        <v>0</v>
      </c>
    </row>
    <row r="342" spans="1:9" ht="15.75" customHeight="1">
      <c r="A342" s="14"/>
      <c r="B342" s="15" t="s">
        <v>1940</v>
      </c>
      <c r="C342" s="15" t="s">
        <v>1941</v>
      </c>
      <c r="D342" s="16"/>
      <c r="E342" s="16" t="s">
        <v>3352</v>
      </c>
      <c r="F342" s="16" t="s">
        <v>3353</v>
      </c>
      <c r="G342" s="16" t="str">
        <f>_xlfn.XLOOKUP( C342,RAW_DATA!B:B, RAW_DATA!Q:Q, "NOT FOUND" )</f>
        <v>2-s2.0-84957060985</v>
      </c>
      <c r="H342" s="1" t="b">
        <f t="shared" si="2"/>
        <v>0</v>
      </c>
      <c r="I342" s="1" t="b">
        <f t="shared" si="3"/>
        <v>0</v>
      </c>
    </row>
    <row r="343" spans="1:9" ht="15.75" customHeight="1">
      <c r="A343" s="14"/>
      <c r="B343" s="15" t="s">
        <v>1945</v>
      </c>
      <c r="C343" s="15" t="s">
        <v>1946</v>
      </c>
      <c r="D343" s="16"/>
      <c r="E343" s="16" t="s">
        <v>3352</v>
      </c>
      <c r="F343" s="16" t="s">
        <v>3353</v>
      </c>
      <c r="G343" s="16" t="str">
        <f>_xlfn.XLOOKUP( C343,RAW_DATA!B:B, RAW_DATA!Q:Q, "NOT FOUND" )</f>
        <v>2-s2.0-85056248863</v>
      </c>
      <c r="H343" s="1" t="b">
        <f t="shared" si="2"/>
        <v>0</v>
      </c>
      <c r="I343" s="1" t="b">
        <f t="shared" si="3"/>
        <v>0</v>
      </c>
    </row>
    <row r="344" spans="1:9" ht="15.75" customHeight="1">
      <c r="A344" s="14"/>
      <c r="B344" s="15" t="s">
        <v>1951</v>
      </c>
      <c r="C344" s="15" t="s">
        <v>1952</v>
      </c>
      <c r="D344" s="16"/>
      <c r="E344" s="16" t="s">
        <v>3353</v>
      </c>
      <c r="F344" s="16" t="s">
        <v>3353</v>
      </c>
      <c r="G344" s="16" t="str">
        <f>_xlfn.XLOOKUP( C344,RAW_DATA!B:B, RAW_DATA!Q:Q, "NOT FOUND" )</f>
        <v>2-s2.0-85124755489</v>
      </c>
      <c r="H344" s="1" t="b">
        <f t="shared" si="2"/>
        <v>0</v>
      </c>
      <c r="I344" s="1" t="b">
        <f t="shared" si="3"/>
        <v>0</v>
      </c>
    </row>
    <row r="345" spans="1:9" ht="15.75" customHeight="1">
      <c r="A345" s="14"/>
      <c r="B345" s="15" t="s">
        <v>1473</v>
      </c>
      <c r="C345" s="15" t="s">
        <v>1956</v>
      </c>
      <c r="D345" s="16"/>
      <c r="E345" s="16" t="s">
        <v>3353</v>
      </c>
      <c r="F345" s="16" t="s">
        <v>3353</v>
      </c>
      <c r="G345" s="16" t="str">
        <f>_xlfn.XLOOKUP( C345,RAW_DATA!B:B, RAW_DATA!Q:Q, "NOT FOUND" )</f>
        <v>2-s2.0-85104462256</v>
      </c>
      <c r="H345" s="1" t="b">
        <f t="shared" si="2"/>
        <v>0</v>
      </c>
      <c r="I345" s="1" t="b">
        <f t="shared" si="3"/>
        <v>0</v>
      </c>
    </row>
    <row r="346" spans="1:9" ht="15.75" customHeight="1">
      <c r="A346" s="14"/>
      <c r="B346" s="15" t="s">
        <v>1961</v>
      </c>
      <c r="C346" s="15" t="s">
        <v>1962</v>
      </c>
      <c r="D346" s="16"/>
      <c r="E346" s="16" t="s">
        <v>3353</v>
      </c>
      <c r="F346" s="16" t="s">
        <v>3353</v>
      </c>
      <c r="G346" s="16" t="str">
        <f>_xlfn.XLOOKUP( C346,RAW_DATA!B:B, RAW_DATA!Q:Q, "NOT FOUND" )</f>
        <v>2-s2.0-85073989398</v>
      </c>
      <c r="H346" s="1" t="b">
        <f t="shared" si="2"/>
        <v>0</v>
      </c>
      <c r="I346" s="1" t="b">
        <f t="shared" si="3"/>
        <v>0</v>
      </c>
    </row>
    <row r="347" spans="1:9" ht="15.75" customHeight="1">
      <c r="A347" s="14"/>
      <c r="B347" s="15" t="s">
        <v>1967</v>
      </c>
      <c r="C347" s="15" t="s">
        <v>1968</v>
      </c>
      <c r="D347" s="16"/>
      <c r="E347" s="16" t="s">
        <v>3352</v>
      </c>
      <c r="F347" s="16" t="s">
        <v>3353</v>
      </c>
      <c r="G347" s="16" t="str">
        <f>_xlfn.XLOOKUP( C347,RAW_DATA!B:B, RAW_DATA!Q:Q, "NOT FOUND" )</f>
        <v>2-s2.0-84968624529</v>
      </c>
      <c r="H347" s="1" t="b">
        <f t="shared" si="2"/>
        <v>0</v>
      </c>
      <c r="I347" s="1" t="b">
        <f t="shared" si="3"/>
        <v>0</v>
      </c>
    </row>
    <row r="348" spans="1:9" ht="15.75" customHeight="1">
      <c r="A348" s="14"/>
      <c r="B348" s="15" t="s">
        <v>1972</v>
      </c>
      <c r="C348" s="15" t="s">
        <v>1973</v>
      </c>
      <c r="D348" s="16"/>
      <c r="E348" s="16" t="s">
        <v>3353</v>
      </c>
      <c r="F348" s="16" t="s">
        <v>3353</v>
      </c>
      <c r="G348" s="16" t="str">
        <f>_xlfn.XLOOKUP( C348,RAW_DATA!B:B, RAW_DATA!Q:Q, "NOT FOUND" )</f>
        <v>2-s2.0-85065842922</v>
      </c>
      <c r="H348" s="1" t="b">
        <f t="shared" si="2"/>
        <v>0</v>
      </c>
      <c r="I348" s="1" t="b">
        <f t="shared" si="3"/>
        <v>0</v>
      </c>
    </row>
    <row r="349" spans="1:9" ht="15.75" customHeight="1">
      <c r="A349" s="14"/>
      <c r="B349" s="15" t="s">
        <v>1978</v>
      </c>
      <c r="C349" s="15" t="s">
        <v>1979</v>
      </c>
      <c r="D349" s="16"/>
      <c r="E349" s="16" t="s">
        <v>3353</v>
      </c>
      <c r="F349" s="16" t="s">
        <v>3353</v>
      </c>
      <c r="G349" s="16" t="str">
        <f>_xlfn.XLOOKUP( C349,RAW_DATA!B:B, RAW_DATA!Q:Q, "NOT FOUND" )</f>
        <v>2-s2.0-85059677025</v>
      </c>
      <c r="H349" s="1" t="b">
        <f t="shared" si="2"/>
        <v>0</v>
      </c>
      <c r="I349" s="1" t="b">
        <f t="shared" si="3"/>
        <v>0</v>
      </c>
    </row>
    <row r="350" spans="1:9" ht="15.75" customHeight="1">
      <c r="A350" s="14"/>
      <c r="B350" s="15" t="s">
        <v>1983</v>
      </c>
      <c r="C350" s="15" t="s">
        <v>1984</v>
      </c>
      <c r="D350" s="16"/>
      <c r="E350" s="16" t="s">
        <v>3352</v>
      </c>
      <c r="F350" s="16" t="s">
        <v>3353</v>
      </c>
      <c r="G350" s="16" t="str">
        <f>_xlfn.XLOOKUP( C350,RAW_DATA!B:B, RAW_DATA!Q:Q, "NOT FOUND" )</f>
        <v>2-s2.0-85044508613</v>
      </c>
      <c r="H350" s="1" t="b">
        <f t="shared" si="2"/>
        <v>0</v>
      </c>
      <c r="I350" s="1" t="b">
        <f t="shared" si="3"/>
        <v>0</v>
      </c>
    </row>
    <row r="351" spans="1:9" ht="15.75" customHeight="1">
      <c r="A351" s="14"/>
      <c r="B351" s="15" t="s">
        <v>1988</v>
      </c>
      <c r="C351" s="15" t="s">
        <v>1989</v>
      </c>
      <c r="D351" s="16"/>
      <c r="E351" s="16" t="s">
        <v>3352</v>
      </c>
      <c r="F351" s="16" t="s">
        <v>3353</v>
      </c>
      <c r="G351" s="16" t="str">
        <f>_xlfn.XLOOKUP( C351,RAW_DATA!B:B, RAW_DATA!Q:Q, "NOT FOUND" )</f>
        <v>2-s2.0-85127735847</v>
      </c>
      <c r="H351" s="1" t="b">
        <f t="shared" si="2"/>
        <v>0</v>
      </c>
      <c r="I351" s="1" t="b">
        <f t="shared" si="3"/>
        <v>0</v>
      </c>
    </row>
    <row r="352" spans="1:9" ht="15.75" customHeight="1">
      <c r="A352" s="14"/>
      <c r="B352" s="15" t="s">
        <v>1993</v>
      </c>
      <c r="C352" s="15" t="s">
        <v>1994</v>
      </c>
      <c r="D352" s="16"/>
      <c r="E352" s="16" t="s">
        <v>3353</v>
      </c>
      <c r="F352" s="16" t="s">
        <v>3353</v>
      </c>
      <c r="G352" s="16" t="str">
        <f>_xlfn.XLOOKUP( C352,RAW_DATA!B:B, RAW_DATA!Q:Q, "NOT FOUND" )</f>
        <v>2-s2.0-85124016925</v>
      </c>
      <c r="H352" s="1" t="b">
        <f t="shared" si="2"/>
        <v>0</v>
      </c>
      <c r="I352" s="1" t="b">
        <f t="shared" si="3"/>
        <v>0</v>
      </c>
    </row>
    <row r="353" spans="1:9" ht="15.75" customHeight="1">
      <c r="A353" s="14"/>
      <c r="B353" s="15" t="s">
        <v>1999</v>
      </c>
      <c r="C353" s="15" t="s">
        <v>2000</v>
      </c>
      <c r="D353" s="16"/>
      <c r="E353" s="16" t="s">
        <v>3353</v>
      </c>
      <c r="F353" s="16" t="s">
        <v>3353</v>
      </c>
      <c r="G353" s="16" t="str">
        <f>_xlfn.XLOOKUP( C353,RAW_DATA!B:B, RAW_DATA!Q:Q, "NOT FOUND" )</f>
        <v>2-s2.0-85044161321</v>
      </c>
      <c r="H353" s="1" t="b">
        <f t="shared" si="2"/>
        <v>0</v>
      </c>
      <c r="I353" s="1" t="b">
        <f t="shared" si="3"/>
        <v>0</v>
      </c>
    </row>
    <row r="354" spans="1:9" ht="15.75" customHeight="1">
      <c r="A354" s="14"/>
      <c r="B354" s="15" t="s">
        <v>2004</v>
      </c>
      <c r="C354" s="15" t="s">
        <v>2005</v>
      </c>
      <c r="D354" s="16"/>
      <c r="E354" s="16" t="s">
        <v>3353</v>
      </c>
      <c r="F354" s="16" t="s">
        <v>3353</v>
      </c>
      <c r="G354" s="16" t="str">
        <f>_xlfn.XLOOKUP( C354,RAW_DATA!B:B, RAW_DATA!Q:Q, "NOT FOUND" )</f>
        <v>2-s2.0-85137268213</v>
      </c>
      <c r="H354" s="1" t="b">
        <f t="shared" si="2"/>
        <v>0</v>
      </c>
      <c r="I354" s="1" t="b">
        <f t="shared" si="3"/>
        <v>0</v>
      </c>
    </row>
    <row r="355" spans="1:9" ht="15.75" customHeight="1">
      <c r="A355" s="14"/>
      <c r="B355" s="15" t="s">
        <v>2010</v>
      </c>
      <c r="C355" s="15" t="s">
        <v>2011</v>
      </c>
      <c r="D355" s="16"/>
      <c r="E355" s="16" t="s">
        <v>3352</v>
      </c>
      <c r="F355" s="16" t="s">
        <v>3353</v>
      </c>
      <c r="G355" s="16" t="str">
        <f>_xlfn.XLOOKUP( C355,RAW_DATA!B:B, RAW_DATA!Q:Q, "NOT FOUND" )</f>
        <v>2-s2.0-85172870080</v>
      </c>
      <c r="H355" s="1" t="b">
        <f t="shared" si="2"/>
        <v>0</v>
      </c>
      <c r="I355" s="1" t="b">
        <f t="shared" si="3"/>
        <v>0</v>
      </c>
    </row>
    <row r="356" spans="1:9" ht="15.75" customHeight="1">
      <c r="A356" s="14"/>
      <c r="B356" s="15" t="s">
        <v>2016</v>
      </c>
      <c r="C356" s="15" t="s">
        <v>2017</v>
      </c>
      <c r="D356" s="16"/>
      <c r="E356" s="16" t="s">
        <v>3352</v>
      </c>
      <c r="F356" s="16" t="s">
        <v>3353</v>
      </c>
      <c r="G356" s="16" t="str">
        <f>_xlfn.XLOOKUP( C356,RAW_DATA!B:B, RAW_DATA!Q:Q, "NOT FOUND" )</f>
        <v>2-s2.0-85167364943</v>
      </c>
      <c r="H356" s="1" t="b">
        <f t="shared" si="2"/>
        <v>0</v>
      </c>
      <c r="I356" s="1" t="b">
        <f t="shared" si="3"/>
        <v>0</v>
      </c>
    </row>
    <row r="357" spans="1:9" ht="15.75" customHeight="1">
      <c r="A357" s="14"/>
      <c r="B357" s="15" t="s">
        <v>2021</v>
      </c>
      <c r="C357" s="15" t="s">
        <v>2022</v>
      </c>
      <c r="D357" s="16"/>
      <c r="E357" s="16" t="s">
        <v>3352</v>
      </c>
      <c r="F357" s="16" t="s">
        <v>3353</v>
      </c>
      <c r="G357" s="16" t="str">
        <f>_xlfn.XLOOKUP( C357,RAW_DATA!B:B, RAW_DATA!Q:Q, "NOT FOUND" )</f>
        <v>2-s2.0-85075060593</v>
      </c>
      <c r="H357" s="1" t="b">
        <f t="shared" si="2"/>
        <v>0</v>
      </c>
      <c r="I357" s="1" t="b">
        <f t="shared" si="3"/>
        <v>0</v>
      </c>
    </row>
    <row r="358" spans="1:9" ht="15.75" customHeight="1">
      <c r="A358" s="14"/>
      <c r="B358" s="15" t="s">
        <v>2027</v>
      </c>
      <c r="C358" s="15" t="s">
        <v>2028</v>
      </c>
      <c r="D358" s="16"/>
      <c r="E358" s="16" t="s">
        <v>3353</v>
      </c>
      <c r="F358" s="16" t="s">
        <v>3353</v>
      </c>
      <c r="G358" s="16" t="str">
        <f>_xlfn.XLOOKUP( C358,RAW_DATA!B:B, RAW_DATA!Q:Q, "NOT FOUND" )</f>
        <v>2-s2.0-85091303821</v>
      </c>
      <c r="H358" s="1" t="b">
        <f t="shared" si="2"/>
        <v>0</v>
      </c>
      <c r="I358" s="1" t="b">
        <f t="shared" si="3"/>
        <v>0</v>
      </c>
    </row>
    <row r="359" spans="1:9" ht="15.75" customHeight="1">
      <c r="A359" s="14"/>
      <c r="B359" s="15" t="s">
        <v>2032</v>
      </c>
      <c r="C359" s="15" t="s">
        <v>2033</v>
      </c>
      <c r="D359" s="16"/>
      <c r="E359" s="16" t="s">
        <v>3353</v>
      </c>
      <c r="F359" s="16" t="s">
        <v>3353</v>
      </c>
      <c r="G359" s="16" t="str">
        <f>_xlfn.XLOOKUP( C359,RAW_DATA!B:B, RAW_DATA!Q:Q, "NOT FOUND" )</f>
        <v>2-s2.0-85088145692</v>
      </c>
      <c r="H359" s="1" t="b">
        <f t="shared" si="2"/>
        <v>0</v>
      </c>
      <c r="I359" s="1" t="b">
        <f t="shared" si="3"/>
        <v>0</v>
      </c>
    </row>
    <row r="360" spans="1:9" ht="15.75" customHeight="1">
      <c r="A360" s="14"/>
      <c r="B360" s="15" t="s">
        <v>2038</v>
      </c>
      <c r="C360" s="15" t="s">
        <v>2039</v>
      </c>
      <c r="D360" s="16"/>
      <c r="E360" s="16" t="s">
        <v>3353</v>
      </c>
      <c r="F360" s="16" t="s">
        <v>3353</v>
      </c>
      <c r="G360" s="16" t="str">
        <f>_xlfn.XLOOKUP( C360,RAW_DATA!B:B, RAW_DATA!Q:Q, "NOT FOUND" )</f>
        <v>2-s2.0-85213874385</v>
      </c>
      <c r="H360" s="1" t="b">
        <f t="shared" si="2"/>
        <v>0</v>
      </c>
      <c r="I360" s="1" t="b">
        <f t="shared" si="3"/>
        <v>0</v>
      </c>
    </row>
    <row r="361" spans="1:9" ht="15.75" customHeight="1">
      <c r="A361" s="14"/>
      <c r="B361" s="15" t="s">
        <v>2044</v>
      </c>
      <c r="C361" s="15" t="s">
        <v>2045</v>
      </c>
      <c r="D361" s="16"/>
      <c r="E361" s="16" t="s">
        <v>3353</v>
      </c>
      <c r="F361" s="16" t="s">
        <v>3353</v>
      </c>
      <c r="G361" s="16" t="str">
        <f>_xlfn.XLOOKUP( C361,RAW_DATA!B:B, RAW_DATA!Q:Q, "NOT FOUND" )</f>
        <v>2-s2.0-85148727208</v>
      </c>
      <c r="H361" s="1" t="b">
        <f t="shared" si="2"/>
        <v>0</v>
      </c>
      <c r="I361" s="1" t="b">
        <f t="shared" si="3"/>
        <v>0</v>
      </c>
    </row>
    <row r="362" spans="1:9" ht="15.75" customHeight="1">
      <c r="A362" s="14"/>
      <c r="B362" s="15" t="s">
        <v>2050</v>
      </c>
      <c r="C362" s="15" t="s">
        <v>2051</v>
      </c>
      <c r="D362" s="16"/>
      <c r="E362" s="16" t="s">
        <v>3353</v>
      </c>
      <c r="F362" s="16" t="s">
        <v>3353</v>
      </c>
      <c r="G362" s="16" t="str">
        <f>_xlfn.XLOOKUP( C362,RAW_DATA!B:B, RAW_DATA!Q:Q, "NOT FOUND" )</f>
        <v>2-s2.0-85137162934</v>
      </c>
      <c r="H362" s="1" t="b">
        <f t="shared" si="2"/>
        <v>0</v>
      </c>
      <c r="I362" s="1" t="b">
        <f t="shared" si="3"/>
        <v>0</v>
      </c>
    </row>
    <row r="363" spans="1:9" ht="15.75" customHeight="1">
      <c r="A363" s="14"/>
      <c r="B363" s="15" t="s">
        <v>2055</v>
      </c>
      <c r="C363" s="15" t="s">
        <v>2056</v>
      </c>
      <c r="D363" s="16"/>
      <c r="E363" s="16" t="s">
        <v>3353</v>
      </c>
      <c r="F363" s="16" t="s">
        <v>3353</v>
      </c>
      <c r="G363" s="16" t="str">
        <f>_xlfn.XLOOKUP( C363,RAW_DATA!B:B, RAW_DATA!Q:Q, "NOT FOUND" )</f>
        <v>2-s2.0-85147257851</v>
      </c>
      <c r="H363" s="1" t="b">
        <f t="shared" si="2"/>
        <v>0</v>
      </c>
      <c r="I363" s="1" t="b">
        <f t="shared" si="3"/>
        <v>0</v>
      </c>
    </row>
    <row r="364" spans="1:9" ht="15.75" customHeight="1">
      <c r="A364" s="14"/>
      <c r="B364" s="15" t="s">
        <v>2061</v>
      </c>
      <c r="C364" s="15" t="s">
        <v>2062</v>
      </c>
      <c r="D364" s="16"/>
      <c r="E364" s="16" t="s">
        <v>3352</v>
      </c>
      <c r="F364" s="16" t="s">
        <v>3353</v>
      </c>
      <c r="G364" s="16" t="str">
        <f>_xlfn.XLOOKUP( C364,RAW_DATA!B:B, RAW_DATA!Q:Q, "NOT FOUND" )</f>
        <v>2-s2.0-85119275144</v>
      </c>
      <c r="H364" s="1" t="b">
        <f t="shared" si="2"/>
        <v>0</v>
      </c>
      <c r="I364" s="1" t="b">
        <f t="shared" si="3"/>
        <v>0</v>
      </c>
    </row>
    <row r="365" spans="1:9" ht="15.75" customHeight="1">
      <c r="A365" s="14"/>
      <c r="B365" s="15" t="s">
        <v>2066</v>
      </c>
      <c r="C365" s="15" t="s">
        <v>2067</v>
      </c>
      <c r="D365" s="16"/>
      <c r="E365" s="16" t="s">
        <v>3353</v>
      </c>
      <c r="F365" s="16" t="s">
        <v>3353</v>
      </c>
      <c r="G365" s="16" t="str">
        <f>_xlfn.XLOOKUP( C365,RAW_DATA!B:B, RAW_DATA!Q:Q, "NOT FOUND" )</f>
        <v>2-s2.0-85065834773</v>
      </c>
      <c r="H365" s="1" t="b">
        <f t="shared" si="2"/>
        <v>0</v>
      </c>
      <c r="I365" s="1" t="b">
        <f t="shared" si="3"/>
        <v>0</v>
      </c>
    </row>
    <row r="366" spans="1:9" ht="15.75" customHeight="1">
      <c r="A366" s="14"/>
      <c r="B366" s="15" t="s">
        <v>2071</v>
      </c>
      <c r="C366" s="15" t="s">
        <v>2072</v>
      </c>
      <c r="D366" s="16"/>
      <c r="E366" s="16" t="s">
        <v>3352</v>
      </c>
      <c r="F366" s="16" t="s">
        <v>3353</v>
      </c>
      <c r="G366" s="16" t="str">
        <f>_xlfn.XLOOKUP( C366,RAW_DATA!B:B, RAW_DATA!Q:Q, "NOT FOUND" )</f>
        <v>2-s2.0-85136821289</v>
      </c>
      <c r="H366" s="1" t="b">
        <f t="shared" si="2"/>
        <v>0</v>
      </c>
      <c r="I366" s="1" t="b">
        <f t="shared" si="3"/>
        <v>0</v>
      </c>
    </row>
    <row r="367" spans="1:9" ht="15.75" customHeight="1">
      <c r="A367" s="14"/>
      <c r="B367" s="15" t="s">
        <v>2078</v>
      </c>
      <c r="C367" s="15" t="s">
        <v>2079</v>
      </c>
      <c r="D367" s="16"/>
      <c r="E367" s="16" t="s">
        <v>3353</v>
      </c>
      <c r="F367" s="16" t="s">
        <v>3353</v>
      </c>
      <c r="G367" s="16" t="str">
        <f>_xlfn.XLOOKUP( C367,RAW_DATA!B:B, RAW_DATA!Q:Q, "NOT FOUND" )</f>
        <v>2-s2.0-105018864163</v>
      </c>
      <c r="H367" s="1" t="b">
        <f t="shared" si="2"/>
        <v>0</v>
      </c>
      <c r="I367" s="1" t="b">
        <f t="shared" si="3"/>
        <v>0</v>
      </c>
    </row>
    <row r="368" spans="1:9" ht="15.75" customHeight="1">
      <c r="A368" s="14"/>
      <c r="B368" s="15" t="s">
        <v>2084</v>
      </c>
      <c r="C368" s="15" t="s">
        <v>2085</v>
      </c>
      <c r="D368" s="16"/>
      <c r="E368" s="16" t="s">
        <v>3353</v>
      </c>
      <c r="F368" s="16" t="s">
        <v>3353</v>
      </c>
      <c r="G368" s="16" t="str">
        <f>_xlfn.XLOOKUP( C368,RAW_DATA!B:B, RAW_DATA!Q:Q, "NOT FOUND" )</f>
        <v>2-s2.0-85110646859</v>
      </c>
      <c r="H368" s="1" t="b">
        <f t="shared" si="2"/>
        <v>0</v>
      </c>
      <c r="I368" s="1" t="b">
        <f t="shared" si="3"/>
        <v>0</v>
      </c>
    </row>
    <row r="369" spans="1:9" ht="15.75" customHeight="1">
      <c r="A369" s="14"/>
      <c r="B369" s="15" t="s">
        <v>2089</v>
      </c>
      <c r="C369" s="15" t="s">
        <v>2090</v>
      </c>
      <c r="D369" s="16"/>
      <c r="E369" s="16" t="s">
        <v>3352</v>
      </c>
      <c r="F369" s="16" t="s">
        <v>3353</v>
      </c>
      <c r="G369" s="16" t="str">
        <f>_xlfn.XLOOKUP( C369,RAW_DATA!B:B, RAW_DATA!Q:Q, "NOT FOUND" )</f>
        <v>2-s2.0-85150977331</v>
      </c>
      <c r="H369" s="1" t="b">
        <f t="shared" si="2"/>
        <v>0</v>
      </c>
      <c r="I369" s="1" t="b">
        <f t="shared" si="3"/>
        <v>0</v>
      </c>
    </row>
    <row r="370" spans="1:9" ht="15.75" customHeight="1">
      <c r="A370" s="14"/>
      <c r="B370" s="15" t="s">
        <v>2095</v>
      </c>
      <c r="C370" s="15" t="s">
        <v>2096</v>
      </c>
      <c r="D370" s="16"/>
      <c r="E370" s="16" t="s">
        <v>3352</v>
      </c>
      <c r="F370" s="16" t="s">
        <v>3353</v>
      </c>
      <c r="G370" s="16" t="str">
        <f>_xlfn.XLOOKUP( C370,RAW_DATA!B:B, RAW_DATA!Q:Q, "NOT FOUND" )</f>
        <v>2-s2.0-85070795339</v>
      </c>
      <c r="H370" s="1" t="b">
        <f t="shared" si="2"/>
        <v>0</v>
      </c>
      <c r="I370" s="1" t="b">
        <f t="shared" si="3"/>
        <v>0</v>
      </c>
    </row>
    <row r="371" spans="1:9" ht="15.75" customHeight="1">
      <c r="A371" s="14"/>
      <c r="B371" s="15" t="s">
        <v>2101</v>
      </c>
      <c r="C371" s="15" t="s">
        <v>2102</v>
      </c>
      <c r="D371" s="16"/>
      <c r="E371" s="16" t="s">
        <v>3353</v>
      </c>
      <c r="F371" s="16" t="s">
        <v>3353</v>
      </c>
      <c r="G371" s="16" t="str">
        <f>_xlfn.XLOOKUP( C371,RAW_DATA!B:B, RAW_DATA!Q:Q, "NOT FOUND" )</f>
        <v>2-s2.0-85043582072</v>
      </c>
      <c r="H371" s="1" t="b">
        <f t="shared" si="2"/>
        <v>0</v>
      </c>
      <c r="I371" s="1" t="b">
        <f t="shared" si="3"/>
        <v>0</v>
      </c>
    </row>
    <row r="372" spans="1:9" ht="15.75" customHeight="1">
      <c r="A372" s="14"/>
      <c r="B372" s="15" t="s">
        <v>2106</v>
      </c>
      <c r="C372" s="15" t="s">
        <v>2107</v>
      </c>
      <c r="D372" s="16"/>
      <c r="E372" s="16" t="s">
        <v>3353</v>
      </c>
      <c r="F372" s="16" t="s">
        <v>3353</v>
      </c>
      <c r="G372" s="16" t="str">
        <f>_xlfn.XLOOKUP( C372,RAW_DATA!B:B, RAW_DATA!Q:Q, "NOT FOUND" )</f>
        <v>2-s2.0-85172454220</v>
      </c>
      <c r="H372" s="1" t="b">
        <f t="shared" si="2"/>
        <v>0</v>
      </c>
      <c r="I372" s="1" t="b">
        <f t="shared" si="3"/>
        <v>0</v>
      </c>
    </row>
    <row r="373" spans="1:9" ht="15.75" customHeight="1">
      <c r="A373" s="14"/>
      <c r="B373" s="15" t="s">
        <v>2112</v>
      </c>
      <c r="C373" s="15" t="s">
        <v>2113</v>
      </c>
      <c r="D373" s="16"/>
      <c r="E373" s="16" t="s">
        <v>3353</v>
      </c>
      <c r="F373" s="16" t="s">
        <v>3353</v>
      </c>
      <c r="G373" s="16" t="str">
        <f>_xlfn.XLOOKUP( C373,RAW_DATA!B:B, RAW_DATA!Q:Q, "NOT FOUND" )</f>
        <v>2-s2.0-85087076996</v>
      </c>
      <c r="H373" s="1" t="b">
        <f t="shared" si="2"/>
        <v>0</v>
      </c>
      <c r="I373" s="1" t="b">
        <f t="shared" si="3"/>
        <v>0</v>
      </c>
    </row>
    <row r="374" spans="1:9" ht="15.75" customHeight="1">
      <c r="A374" s="14"/>
      <c r="B374" s="15" t="s">
        <v>2118</v>
      </c>
      <c r="C374" s="15" t="s">
        <v>2119</v>
      </c>
      <c r="D374" s="16"/>
      <c r="E374" s="16" t="s">
        <v>3353</v>
      </c>
      <c r="F374" s="16" t="s">
        <v>3353</v>
      </c>
      <c r="G374" s="16" t="str">
        <f>_xlfn.XLOOKUP( C374,RAW_DATA!B:B, RAW_DATA!Q:Q, "NOT FOUND" )</f>
        <v>2-s2.0-85033466565</v>
      </c>
      <c r="H374" s="1" t="b">
        <f t="shared" si="2"/>
        <v>0</v>
      </c>
      <c r="I374" s="1" t="b">
        <f t="shared" si="3"/>
        <v>0</v>
      </c>
    </row>
    <row r="375" spans="1:9" ht="15.75" customHeight="1">
      <c r="A375" s="14"/>
      <c r="B375" s="15" t="s">
        <v>2124</v>
      </c>
      <c r="C375" s="15" t="s">
        <v>2125</v>
      </c>
      <c r="D375" s="16"/>
      <c r="E375" s="16" t="s">
        <v>3352</v>
      </c>
      <c r="F375" s="16" t="s">
        <v>3353</v>
      </c>
      <c r="G375" s="16" t="str">
        <f>_xlfn.XLOOKUP( C375,RAW_DATA!B:B, RAW_DATA!Q:Q, "NOT FOUND" )</f>
        <v>2-s2.0-85163187322</v>
      </c>
      <c r="H375" s="1" t="b">
        <f t="shared" si="2"/>
        <v>0</v>
      </c>
      <c r="I375" s="1" t="b">
        <f t="shared" si="3"/>
        <v>0</v>
      </c>
    </row>
    <row r="376" spans="1:9" ht="15.75" customHeight="1">
      <c r="A376" s="14"/>
      <c r="B376" s="15" t="s">
        <v>2129</v>
      </c>
      <c r="C376" s="15" t="s">
        <v>2130</v>
      </c>
      <c r="D376" s="16"/>
      <c r="E376" s="16" t="s">
        <v>3352</v>
      </c>
      <c r="F376" s="16" t="s">
        <v>3353</v>
      </c>
      <c r="G376" s="16" t="str">
        <f>_xlfn.XLOOKUP( C376,RAW_DATA!B:B, RAW_DATA!Q:Q, "NOT FOUND" )</f>
        <v>2-s2.0-85061287740</v>
      </c>
      <c r="H376" s="1" t="b">
        <f t="shared" si="2"/>
        <v>0</v>
      </c>
      <c r="I376" s="1" t="b">
        <f t="shared" si="3"/>
        <v>0</v>
      </c>
    </row>
    <row r="377" spans="1:9" ht="15.75" customHeight="1">
      <c r="A377" s="14"/>
      <c r="B377" s="15" t="s">
        <v>2134</v>
      </c>
      <c r="C377" s="15" t="s">
        <v>2135</v>
      </c>
      <c r="D377" s="16"/>
      <c r="E377" s="16" t="s">
        <v>3352</v>
      </c>
      <c r="F377" s="16" t="s">
        <v>3353</v>
      </c>
      <c r="G377" s="16" t="str">
        <f>_xlfn.XLOOKUP( C377,RAW_DATA!B:B, RAW_DATA!Q:Q, "NOT FOUND" )</f>
        <v>2-s2.0-85152299586</v>
      </c>
      <c r="H377" s="1" t="b">
        <f t="shared" si="2"/>
        <v>0</v>
      </c>
      <c r="I377" s="1" t="b">
        <f t="shared" si="3"/>
        <v>0</v>
      </c>
    </row>
    <row r="378" spans="1:9" ht="15.75" customHeight="1">
      <c r="A378" s="14"/>
      <c r="B378" s="15" t="s">
        <v>2139</v>
      </c>
      <c r="C378" s="15" t="s">
        <v>2140</v>
      </c>
      <c r="D378" s="16"/>
      <c r="E378" s="16" t="s">
        <v>3353</v>
      </c>
      <c r="F378" s="16" t="s">
        <v>3353</v>
      </c>
      <c r="G378" s="16" t="str">
        <f>_xlfn.XLOOKUP( C378,RAW_DATA!B:B, RAW_DATA!Q:Q, "NOT FOUND" )</f>
        <v>2-s2.0-85041478641</v>
      </c>
      <c r="H378" s="1" t="b">
        <f t="shared" si="2"/>
        <v>0</v>
      </c>
      <c r="I378" s="1" t="b">
        <f t="shared" si="3"/>
        <v>0</v>
      </c>
    </row>
    <row r="379" spans="1:9" ht="15.75" customHeight="1">
      <c r="A379" s="14"/>
      <c r="B379" s="15" t="s">
        <v>2144</v>
      </c>
      <c r="C379" s="15" t="s">
        <v>2145</v>
      </c>
      <c r="D379" s="16"/>
      <c r="E379" s="16" t="s">
        <v>3352</v>
      </c>
      <c r="F379" s="16" t="s">
        <v>3353</v>
      </c>
      <c r="G379" s="16" t="str">
        <f>_xlfn.XLOOKUP( C379,RAW_DATA!B:B, RAW_DATA!Q:Q, "NOT FOUND" )</f>
        <v>2-s2.0-84995699460</v>
      </c>
      <c r="H379" s="1" t="b">
        <f t="shared" si="2"/>
        <v>0</v>
      </c>
      <c r="I379" s="1" t="b">
        <f t="shared" si="3"/>
        <v>0</v>
      </c>
    </row>
    <row r="380" spans="1:9" ht="15.75" customHeight="1">
      <c r="A380" s="14"/>
      <c r="B380" s="15" t="s">
        <v>2150</v>
      </c>
      <c r="C380" s="15" t="s">
        <v>2151</v>
      </c>
      <c r="D380" s="16"/>
      <c r="E380" s="16" t="s">
        <v>3352</v>
      </c>
      <c r="F380" s="16" t="s">
        <v>3353</v>
      </c>
      <c r="G380" s="16" t="str">
        <f>_xlfn.XLOOKUP( C380,RAW_DATA!B:B, RAW_DATA!Q:Q, "NOT FOUND" )</f>
        <v>2-s2.0-85118726488</v>
      </c>
      <c r="H380" s="1" t="b">
        <f t="shared" si="2"/>
        <v>0</v>
      </c>
      <c r="I380" s="1" t="b">
        <f t="shared" si="3"/>
        <v>0</v>
      </c>
    </row>
    <row r="381" spans="1:9" ht="15.75" customHeight="1">
      <c r="A381" s="14"/>
      <c r="B381" s="15" t="s">
        <v>2155</v>
      </c>
      <c r="C381" s="15" t="s">
        <v>2156</v>
      </c>
      <c r="D381" s="16"/>
      <c r="E381" s="16" t="s">
        <v>3352</v>
      </c>
      <c r="F381" s="16" t="s">
        <v>3353</v>
      </c>
      <c r="G381" s="16" t="str">
        <f>_xlfn.XLOOKUP( C381,RAW_DATA!B:B, RAW_DATA!Q:Q, "NOT FOUND" )</f>
        <v>2-s2.0-85129404886</v>
      </c>
      <c r="H381" s="1" t="b">
        <f t="shared" si="2"/>
        <v>0</v>
      </c>
      <c r="I381" s="1" t="b">
        <f t="shared" si="3"/>
        <v>0</v>
      </c>
    </row>
    <row r="382" spans="1:9" ht="15.75" customHeight="1">
      <c r="A382" s="14"/>
      <c r="B382" s="15" t="s">
        <v>2161</v>
      </c>
      <c r="C382" s="15" t="s">
        <v>2162</v>
      </c>
      <c r="D382" s="16"/>
      <c r="E382" s="16" t="s">
        <v>3353</v>
      </c>
      <c r="F382" s="16" t="s">
        <v>3353</v>
      </c>
      <c r="G382" s="16" t="str">
        <f>_xlfn.XLOOKUP( C382,RAW_DATA!B:B, RAW_DATA!Q:Q, "NOT FOUND" )</f>
        <v>2-s2.0-85172915933</v>
      </c>
      <c r="H382" s="1" t="b">
        <f t="shared" si="2"/>
        <v>0</v>
      </c>
      <c r="I382" s="1" t="b">
        <f t="shared" si="3"/>
        <v>0</v>
      </c>
    </row>
    <row r="383" spans="1:9" ht="15.75" customHeight="1">
      <c r="A383" s="14"/>
      <c r="B383" s="15" t="s">
        <v>2166</v>
      </c>
      <c r="C383" s="15" t="s">
        <v>2167</v>
      </c>
      <c r="D383" s="16"/>
      <c r="E383" s="16" t="s">
        <v>3353</v>
      </c>
      <c r="F383" s="16" t="s">
        <v>3353</v>
      </c>
      <c r="G383" s="16" t="str">
        <f>_xlfn.XLOOKUP( C383,RAW_DATA!B:B, RAW_DATA!Q:Q, "NOT FOUND" )</f>
        <v>2-s2.0-85096837983</v>
      </c>
      <c r="H383" s="1" t="b">
        <f t="shared" si="2"/>
        <v>0</v>
      </c>
      <c r="I383" s="1" t="b">
        <f t="shared" si="3"/>
        <v>0</v>
      </c>
    </row>
    <row r="384" spans="1:9" ht="15.75" customHeight="1">
      <c r="A384" s="14"/>
      <c r="B384" s="15" t="s">
        <v>2172</v>
      </c>
      <c r="C384" s="15" t="s">
        <v>2173</v>
      </c>
      <c r="D384" s="16"/>
      <c r="E384" s="16" t="s">
        <v>3353</v>
      </c>
      <c r="F384" s="16" t="s">
        <v>3353</v>
      </c>
      <c r="G384" s="16" t="str">
        <f>_xlfn.XLOOKUP( C384,RAW_DATA!B:B, RAW_DATA!Q:Q, "NOT FOUND" )</f>
        <v>2-s2.0-85129319061</v>
      </c>
      <c r="H384" s="1" t="b">
        <f t="shared" si="2"/>
        <v>0</v>
      </c>
      <c r="I384" s="1" t="b">
        <f t="shared" si="3"/>
        <v>0</v>
      </c>
    </row>
    <row r="385" spans="1:9" ht="15.75" customHeight="1">
      <c r="A385" s="14"/>
      <c r="B385" s="15" t="s">
        <v>2177</v>
      </c>
      <c r="C385" s="15" t="s">
        <v>2178</v>
      </c>
      <c r="D385" s="16"/>
      <c r="E385" s="16" t="s">
        <v>3353</v>
      </c>
      <c r="F385" s="16" t="s">
        <v>3353</v>
      </c>
      <c r="G385" s="16" t="str">
        <f>_xlfn.XLOOKUP( C385,RAW_DATA!B:B, RAW_DATA!Q:Q, "NOT FOUND" )</f>
        <v>2-s2.0-85055882213</v>
      </c>
      <c r="H385" s="1" t="b">
        <f t="shared" si="2"/>
        <v>0</v>
      </c>
      <c r="I385" s="1" t="b">
        <f t="shared" si="3"/>
        <v>0</v>
      </c>
    </row>
    <row r="386" spans="1:9" ht="15.75" customHeight="1">
      <c r="A386" s="14"/>
      <c r="B386" s="15" t="s">
        <v>2183</v>
      </c>
      <c r="C386" s="15" t="s">
        <v>2184</v>
      </c>
      <c r="D386" s="16"/>
      <c r="E386" s="16" t="s">
        <v>3352</v>
      </c>
      <c r="F386" s="16" t="s">
        <v>3353</v>
      </c>
      <c r="G386" s="16" t="str">
        <f>_xlfn.XLOOKUP( C386,RAW_DATA!B:B, RAW_DATA!Q:Q, "NOT FOUND" )</f>
        <v>2-s2.0-85191348976</v>
      </c>
      <c r="H386" s="1" t="b">
        <f t="shared" si="2"/>
        <v>0</v>
      </c>
      <c r="I386" s="1" t="b">
        <f t="shared" si="3"/>
        <v>0</v>
      </c>
    </row>
    <row r="387" spans="1:9" ht="15.75" customHeight="1">
      <c r="A387" s="14"/>
      <c r="B387" s="15" t="s">
        <v>2188</v>
      </c>
      <c r="C387" s="15" t="s">
        <v>2189</v>
      </c>
      <c r="D387" s="16"/>
      <c r="E387" s="16" t="s">
        <v>3353</v>
      </c>
      <c r="F387" s="16" t="s">
        <v>3353</v>
      </c>
      <c r="G387" s="16" t="str">
        <f>_xlfn.XLOOKUP( C387,RAW_DATA!B:B, RAW_DATA!Q:Q, "NOT FOUND" )</f>
        <v>2-s2.0-85105779331</v>
      </c>
      <c r="H387" s="1" t="b">
        <f t="shared" si="2"/>
        <v>0</v>
      </c>
      <c r="I387" s="1" t="b">
        <f t="shared" si="3"/>
        <v>0</v>
      </c>
    </row>
    <row r="388" spans="1:9" ht="15.75" customHeight="1">
      <c r="A388" s="14"/>
      <c r="B388" s="15" t="s">
        <v>2193</v>
      </c>
      <c r="C388" s="15" t="s">
        <v>2194</v>
      </c>
      <c r="D388" s="16"/>
      <c r="E388" s="16" t="s">
        <v>3352</v>
      </c>
      <c r="F388" s="16" t="s">
        <v>3353</v>
      </c>
      <c r="G388" s="16" t="str">
        <f>_xlfn.XLOOKUP( C388,RAW_DATA!B:B, RAW_DATA!Q:Q, "NOT FOUND" )</f>
        <v>2-s2.0-85071226593</v>
      </c>
      <c r="H388" s="1" t="b">
        <f t="shared" si="2"/>
        <v>0</v>
      </c>
      <c r="I388" s="1" t="b">
        <f t="shared" si="3"/>
        <v>0</v>
      </c>
    </row>
    <row r="389" spans="1:9" ht="15.75" customHeight="1">
      <c r="A389" s="14"/>
      <c r="B389" s="15" t="s">
        <v>2198</v>
      </c>
      <c r="C389" s="15" t="s">
        <v>2199</v>
      </c>
      <c r="D389" s="16"/>
      <c r="E389" s="16" t="s">
        <v>3353</v>
      </c>
      <c r="F389" s="16" t="s">
        <v>3353</v>
      </c>
      <c r="G389" s="16" t="str">
        <f>_xlfn.XLOOKUP( C389,RAW_DATA!B:B, RAW_DATA!Q:Q, "NOT FOUND" )</f>
        <v>2-s2.0-85071399449</v>
      </c>
      <c r="H389" s="1" t="b">
        <f t="shared" si="2"/>
        <v>0</v>
      </c>
      <c r="I389" s="1" t="b">
        <f t="shared" si="3"/>
        <v>0</v>
      </c>
    </row>
    <row r="390" spans="1:9" ht="15.75" customHeight="1">
      <c r="A390" s="14"/>
      <c r="B390" s="15" t="s">
        <v>2203</v>
      </c>
      <c r="C390" s="15" t="s">
        <v>2204</v>
      </c>
      <c r="D390" s="16"/>
      <c r="E390" s="16" t="s">
        <v>3353</v>
      </c>
      <c r="F390" s="16" t="s">
        <v>3353</v>
      </c>
      <c r="G390" s="16" t="str">
        <f>_xlfn.XLOOKUP( C390,RAW_DATA!B:B, RAW_DATA!Q:Q, "NOT FOUND" )</f>
        <v>2-s2.0-85090350790</v>
      </c>
      <c r="H390" s="1" t="b">
        <f t="shared" si="2"/>
        <v>0</v>
      </c>
      <c r="I390" s="1" t="b">
        <f t="shared" si="3"/>
        <v>0</v>
      </c>
    </row>
    <row r="391" spans="1:9" ht="15.75" customHeight="1">
      <c r="A391" s="14"/>
      <c r="B391" s="15" t="s">
        <v>2209</v>
      </c>
      <c r="C391" s="15" t="s">
        <v>2210</v>
      </c>
      <c r="D391" s="16"/>
      <c r="E391" s="16" t="s">
        <v>3353</v>
      </c>
      <c r="F391" s="16" t="s">
        <v>3353</v>
      </c>
      <c r="G391" s="16" t="str">
        <f>_xlfn.XLOOKUP( C391,RAW_DATA!B:B, RAW_DATA!Q:Q, "NOT FOUND" )</f>
        <v>2-s2.0-85132347180</v>
      </c>
      <c r="H391" s="1" t="b">
        <f t="shared" si="2"/>
        <v>0</v>
      </c>
      <c r="I391" s="1" t="b">
        <f t="shared" si="3"/>
        <v>0</v>
      </c>
    </row>
    <row r="392" spans="1:9" ht="15.75" customHeight="1">
      <c r="A392" s="14"/>
      <c r="B392" s="15" t="s">
        <v>2214</v>
      </c>
      <c r="C392" s="15" t="s">
        <v>2215</v>
      </c>
      <c r="D392" s="16"/>
      <c r="E392" s="16" t="s">
        <v>3353</v>
      </c>
      <c r="F392" s="16" t="s">
        <v>3353</v>
      </c>
      <c r="G392" s="16" t="str">
        <f>_xlfn.XLOOKUP( C392,RAW_DATA!B:B, RAW_DATA!Q:Q, "NOT FOUND" )</f>
        <v>2-s2.0-85129739238</v>
      </c>
      <c r="H392" s="1" t="b">
        <f t="shared" si="2"/>
        <v>0</v>
      </c>
      <c r="I392" s="1" t="b">
        <f t="shared" si="3"/>
        <v>0</v>
      </c>
    </row>
    <row r="393" spans="1:9" ht="15.75" customHeight="1">
      <c r="A393" s="14"/>
      <c r="B393" s="15" t="s">
        <v>2219</v>
      </c>
      <c r="C393" s="15" t="s">
        <v>2220</v>
      </c>
      <c r="D393" s="16"/>
      <c r="E393" s="16" t="s">
        <v>3352</v>
      </c>
      <c r="F393" s="16" t="s">
        <v>3353</v>
      </c>
      <c r="G393" s="16" t="str">
        <f>_xlfn.XLOOKUP( C393,RAW_DATA!B:B, RAW_DATA!Q:Q, "NOT FOUND" )</f>
        <v>2-s2.0-85104521479</v>
      </c>
      <c r="H393" s="1" t="b">
        <f t="shared" si="2"/>
        <v>0</v>
      </c>
      <c r="I393" s="1" t="b">
        <f t="shared" si="3"/>
        <v>0</v>
      </c>
    </row>
    <row r="394" spans="1:9" ht="15.75" customHeight="1">
      <c r="A394" s="14"/>
      <c r="B394" s="15" t="s">
        <v>1630</v>
      </c>
      <c r="C394" s="15" t="s">
        <v>2224</v>
      </c>
      <c r="D394" s="16"/>
      <c r="E394" s="16" t="s">
        <v>3353</v>
      </c>
      <c r="F394" s="16" t="s">
        <v>3353</v>
      </c>
      <c r="G394" s="16" t="str">
        <f>_xlfn.XLOOKUP( C394,RAW_DATA!B:B, RAW_DATA!Q:Q, "NOT FOUND" )</f>
        <v>2-s2.0-85168712347</v>
      </c>
      <c r="H394" s="1" t="b">
        <f t="shared" si="2"/>
        <v>0</v>
      </c>
      <c r="I394" s="1" t="b">
        <f t="shared" si="3"/>
        <v>0</v>
      </c>
    </row>
    <row r="395" spans="1:9" ht="15.75" customHeight="1">
      <c r="A395" s="14"/>
      <c r="B395" s="15" t="s">
        <v>2229</v>
      </c>
      <c r="C395" s="15" t="s">
        <v>2230</v>
      </c>
      <c r="D395" s="16"/>
      <c r="E395" s="16" t="s">
        <v>3352</v>
      </c>
      <c r="F395" s="16" t="s">
        <v>3353</v>
      </c>
      <c r="G395" s="16" t="str">
        <f>_xlfn.XLOOKUP( C395,RAW_DATA!B:B, RAW_DATA!Q:Q, "NOT FOUND" )</f>
        <v>2-s2.0-85098134433</v>
      </c>
      <c r="H395" s="1" t="b">
        <f t="shared" si="2"/>
        <v>0</v>
      </c>
      <c r="I395" s="1" t="b">
        <f t="shared" si="3"/>
        <v>0</v>
      </c>
    </row>
    <row r="396" spans="1:9" ht="15.75" customHeight="1">
      <c r="A396" s="14"/>
      <c r="B396" s="15" t="s">
        <v>2234</v>
      </c>
      <c r="C396" s="15" t="s">
        <v>2235</v>
      </c>
      <c r="D396" s="16"/>
      <c r="E396" s="16" t="s">
        <v>3352</v>
      </c>
      <c r="F396" s="16" t="s">
        <v>3353</v>
      </c>
      <c r="G396" s="16" t="str">
        <f>_xlfn.XLOOKUP( C396,RAW_DATA!B:B, RAW_DATA!Q:Q, "NOT FOUND" )</f>
        <v>2-s2.0-85198989272</v>
      </c>
      <c r="H396" s="1" t="b">
        <f t="shared" si="2"/>
        <v>0</v>
      </c>
      <c r="I396" s="1" t="b">
        <f t="shared" si="3"/>
        <v>0</v>
      </c>
    </row>
    <row r="397" spans="1:9" ht="15.75" customHeight="1">
      <c r="A397" s="14"/>
      <c r="B397" s="15" t="s">
        <v>2240</v>
      </c>
      <c r="C397" s="15" t="s">
        <v>2241</v>
      </c>
      <c r="D397" s="16"/>
      <c r="E397" s="16" t="s">
        <v>3352</v>
      </c>
      <c r="F397" s="16" t="s">
        <v>3353</v>
      </c>
      <c r="G397" s="16" t="str">
        <f>_xlfn.XLOOKUP( C397,RAW_DATA!B:B, RAW_DATA!Q:Q, "NOT FOUND" )</f>
        <v>2-s2.0-85203719179</v>
      </c>
      <c r="H397" s="1" t="b">
        <f t="shared" si="2"/>
        <v>0</v>
      </c>
      <c r="I397" s="1" t="b">
        <f t="shared" si="3"/>
        <v>0</v>
      </c>
    </row>
    <row r="398" spans="1:9" ht="15.75" customHeight="1">
      <c r="A398" s="14"/>
      <c r="B398" s="15" t="s">
        <v>2246</v>
      </c>
      <c r="C398" s="15" t="s">
        <v>2247</v>
      </c>
      <c r="D398" s="16"/>
      <c r="E398" s="16" t="s">
        <v>3352</v>
      </c>
      <c r="F398" s="16" t="s">
        <v>3353</v>
      </c>
      <c r="G398" s="16" t="str">
        <f>_xlfn.XLOOKUP( C398,RAW_DATA!B:B, RAW_DATA!Q:Q, "NOT FOUND" )</f>
        <v>2-s2.0-85193980589</v>
      </c>
      <c r="H398" s="1" t="b">
        <f t="shared" si="2"/>
        <v>0</v>
      </c>
      <c r="I398" s="1" t="b">
        <f t="shared" si="3"/>
        <v>0</v>
      </c>
    </row>
    <row r="399" spans="1:9" ht="15.75" customHeight="1">
      <c r="A399" s="14"/>
      <c r="B399" s="15" t="s">
        <v>2251</v>
      </c>
      <c r="C399" s="15" t="s">
        <v>2252</v>
      </c>
      <c r="D399" s="16"/>
      <c r="E399" s="16" t="s">
        <v>3353</v>
      </c>
      <c r="F399" s="16" t="s">
        <v>3353</v>
      </c>
      <c r="G399" s="16" t="str">
        <f>_xlfn.XLOOKUP( C399,RAW_DATA!B:B, RAW_DATA!Q:Q, "NOT FOUND" )</f>
        <v>2-s2.0-85144441350</v>
      </c>
      <c r="H399" s="1" t="b">
        <f t="shared" si="2"/>
        <v>0</v>
      </c>
      <c r="I399" s="1" t="b">
        <f t="shared" si="3"/>
        <v>0</v>
      </c>
    </row>
    <row r="400" spans="1:9" ht="15.75" customHeight="1">
      <c r="A400" s="14"/>
      <c r="B400" s="15" t="s">
        <v>2256</v>
      </c>
      <c r="C400" s="15" t="s">
        <v>2257</v>
      </c>
      <c r="D400" s="16"/>
      <c r="E400" s="16" t="s">
        <v>3353</v>
      </c>
      <c r="F400" s="16" t="s">
        <v>3353</v>
      </c>
      <c r="G400" s="16" t="str">
        <f>_xlfn.XLOOKUP( C400,RAW_DATA!B:B, RAW_DATA!Q:Q, "NOT FOUND" )</f>
        <v>2-s2.0-85162931567</v>
      </c>
      <c r="H400" s="1" t="b">
        <f t="shared" si="2"/>
        <v>0</v>
      </c>
      <c r="I400" s="1" t="b">
        <f t="shared" si="3"/>
        <v>0</v>
      </c>
    </row>
    <row r="401" spans="1:9" ht="15.75" customHeight="1">
      <c r="A401" s="14"/>
      <c r="B401" s="15" t="s">
        <v>2261</v>
      </c>
      <c r="C401" s="15" t="s">
        <v>2262</v>
      </c>
      <c r="D401" s="16"/>
      <c r="E401" s="16" t="s">
        <v>3353</v>
      </c>
      <c r="F401" s="16" t="s">
        <v>3353</v>
      </c>
      <c r="G401" s="16" t="str">
        <f>_xlfn.XLOOKUP( C401,RAW_DATA!B:B, RAW_DATA!Q:Q, "NOT FOUND" )</f>
        <v>2-s2.0-85173623215</v>
      </c>
      <c r="H401" s="1" t="b">
        <f t="shared" si="2"/>
        <v>0</v>
      </c>
      <c r="I401" s="1" t="b">
        <f t="shared" si="3"/>
        <v>0</v>
      </c>
    </row>
    <row r="402" spans="1:9" ht="15.75" customHeight="1">
      <c r="A402" s="14"/>
      <c r="B402" s="15" t="s">
        <v>2267</v>
      </c>
      <c r="C402" s="15" t="s">
        <v>2268</v>
      </c>
      <c r="D402" s="16"/>
      <c r="E402" s="16" t="s">
        <v>3352</v>
      </c>
      <c r="F402" s="16" t="s">
        <v>3353</v>
      </c>
      <c r="G402" s="16" t="str">
        <f>_xlfn.XLOOKUP( C402,RAW_DATA!B:B, RAW_DATA!Q:Q, "NOT FOUND" )</f>
        <v>2-s2.0-85130235009</v>
      </c>
      <c r="H402" s="1" t="b">
        <f t="shared" si="2"/>
        <v>0</v>
      </c>
      <c r="I402" s="1" t="b">
        <f t="shared" si="3"/>
        <v>0</v>
      </c>
    </row>
    <row r="403" spans="1:9" ht="15.75" customHeight="1">
      <c r="A403" s="14"/>
      <c r="B403" s="15" t="s">
        <v>2273</v>
      </c>
      <c r="C403" s="15" t="s">
        <v>2274</v>
      </c>
      <c r="D403" s="16"/>
      <c r="E403" s="16" t="s">
        <v>3353</v>
      </c>
      <c r="F403" s="16" t="s">
        <v>3353</v>
      </c>
      <c r="G403" s="16" t="str">
        <f>_xlfn.XLOOKUP( C403,RAW_DATA!B:B, RAW_DATA!Q:Q, "NOT FOUND" )</f>
        <v>2-s2.0-85104589930</v>
      </c>
      <c r="H403" s="1" t="b">
        <f t="shared" si="2"/>
        <v>0</v>
      </c>
      <c r="I403" s="1" t="b">
        <f t="shared" si="3"/>
        <v>0</v>
      </c>
    </row>
    <row r="404" spans="1:9" ht="15.75" customHeight="1">
      <c r="A404" s="14"/>
      <c r="B404" s="15" t="s">
        <v>2278</v>
      </c>
      <c r="C404" s="15" t="s">
        <v>2279</v>
      </c>
      <c r="D404" s="16"/>
      <c r="E404" s="16" t="s">
        <v>3352</v>
      </c>
      <c r="F404" s="16" t="s">
        <v>3353</v>
      </c>
      <c r="G404" s="16" t="str">
        <f>_xlfn.XLOOKUP( C404,RAW_DATA!B:B, RAW_DATA!Q:Q, "NOT FOUND" )</f>
        <v>2-s2.0-85014699249</v>
      </c>
      <c r="H404" s="1" t="b">
        <f t="shared" si="2"/>
        <v>0</v>
      </c>
      <c r="I404" s="1" t="b">
        <f t="shared" si="3"/>
        <v>0</v>
      </c>
    </row>
    <row r="405" spans="1:9" ht="15.75" customHeight="1">
      <c r="A405" s="14"/>
      <c r="B405" s="15" t="s">
        <v>2283</v>
      </c>
      <c r="C405" s="15" t="s">
        <v>2284</v>
      </c>
      <c r="D405" s="16"/>
      <c r="E405" s="16" t="s">
        <v>3353</v>
      </c>
      <c r="F405" s="16" t="s">
        <v>3353</v>
      </c>
      <c r="G405" s="16" t="str">
        <f>_xlfn.XLOOKUP( C405,RAW_DATA!B:B, RAW_DATA!Q:Q, "NOT FOUND" )</f>
        <v>2-s2.0-85071968097</v>
      </c>
      <c r="H405" s="1" t="b">
        <f t="shared" si="2"/>
        <v>0</v>
      </c>
      <c r="I405" s="1" t="b">
        <f t="shared" si="3"/>
        <v>0</v>
      </c>
    </row>
    <row r="406" spans="1:9" ht="15.75" customHeight="1">
      <c r="A406" s="14"/>
      <c r="B406" s="15" t="s">
        <v>2288</v>
      </c>
      <c r="C406" s="15" t="s">
        <v>2289</v>
      </c>
      <c r="D406" s="16"/>
      <c r="E406" s="16" t="s">
        <v>3353</v>
      </c>
      <c r="F406" s="16" t="s">
        <v>3353</v>
      </c>
      <c r="G406" s="16" t="str">
        <f>_xlfn.XLOOKUP( C406,RAW_DATA!B:B, RAW_DATA!Q:Q, "NOT FOUND" )</f>
        <v>2-s2.0-85117890905</v>
      </c>
      <c r="H406" s="1" t="b">
        <f t="shared" si="2"/>
        <v>0</v>
      </c>
      <c r="I406" s="1" t="b">
        <f t="shared" si="3"/>
        <v>0</v>
      </c>
    </row>
    <row r="407" spans="1:9" ht="15.75" customHeight="1">
      <c r="A407" s="14"/>
      <c r="B407" s="15" t="s">
        <v>2293</v>
      </c>
      <c r="C407" s="15" t="s">
        <v>2294</v>
      </c>
      <c r="D407" s="16"/>
      <c r="E407" s="16" t="s">
        <v>3353</v>
      </c>
      <c r="F407" s="16" t="s">
        <v>3353</v>
      </c>
      <c r="G407" s="16" t="str">
        <f>_xlfn.XLOOKUP( C407,RAW_DATA!B:B, RAW_DATA!Q:Q, "NOT FOUND" )</f>
        <v>2-s2.0-85165178224</v>
      </c>
      <c r="H407" s="1" t="b">
        <f t="shared" si="2"/>
        <v>0</v>
      </c>
      <c r="I407" s="1" t="b">
        <f t="shared" si="3"/>
        <v>0</v>
      </c>
    </row>
    <row r="408" spans="1:9" ht="15.75" customHeight="1">
      <c r="A408" s="14"/>
      <c r="B408" s="15" t="s">
        <v>2298</v>
      </c>
      <c r="C408" s="15" t="s">
        <v>2299</v>
      </c>
      <c r="D408" s="16"/>
      <c r="E408" s="16" t="s">
        <v>3353</v>
      </c>
      <c r="F408" s="16" t="s">
        <v>3353</v>
      </c>
      <c r="G408" s="16" t="str">
        <f>_xlfn.XLOOKUP( C408,RAW_DATA!B:B, RAW_DATA!Q:Q, "NOT FOUND" )</f>
        <v>2-s2.0-85011565227</v>
      </c>
      <c r="H408" s="1" t="b">
        <f t="shared" si="2"/>
        <v>0</v>
      </c>
      <c r="I408" s="1" t="b">
        <f t="shared" si="3"/>
        <v>0</v>
      </c>
    </row>
    <row r="409" spans="1:9" ht="15.75" customHeight="1">
      <c r="A409" s="14"/>
      <c r="B409" s="15" t="s">
        <v>2303</v>
      </c>
      <c r="C409" s="15" t="s">
        <v>2304</v>
      </c>
      <c r="D409" s="16"/>
      <c r="E409" s="16" t="s">
        <v>3353</v>
      </c>
      <c r="F409" s="16" t="s">
        <v>3353</v>
      </c>
      <c r="G409" s="16" t="str">
        <f>_xlfn.XLOOKUP( C409,RAW_DATA!B:B, RAW_DATA!Q:Q, "NOT FOUND" )</f>
        <v>2-s2.0-85129455453</v>
      </c>
      <c r="H409" s="1" t="b">
        <f t="shared" si="2"/>
        <v>0</v>
      </c>
      <c r="I409" s="1" t="b">
        <f t="shared" si="3"/>
        <v>0</v>
      </c>
    </row>
    <row r="410" spans="1:9" ht="15.75" customHeight="1">
      <c r="A410" s="14"/>
      <c r="B410" s="15" t="s">
        <v>2308</v>
      </c>
      <c r="C410" s="15" t="s">
        <v>2309</v>
      </c>
      <c r="D410" s="16"/>
      <c r="E410" s="16" t="s">
        <v>3352</v>
      </c>
      <c r="F410" s="16" t="s">
        <v>3353</v>
      </c>
      <c r="G410" s="16" t="str">
        <f>_xlfn.XLOOKUP( C410,RAW_DATA!B:B, RAW_DATA!Q:Q, "NOT FOUND" )</f>
        <v>2-s2.0-85132590823</v>
      </c>
      <c r="H410" s="1" t="b">
        <f t="shared" si="2"/>
        <v>0</v>
      </c>
      <c r="I410" s="1" t="b">
        <f t="shared" si="3"/>
        <v>0</v>
      </c>
    </row>
    <row r="411" spans="1:9" ht="15.75" customHeight="1">
      <c r="A411" s="14"/>
      <c r="B411" s="15" t="s">
        <v>2314</v>
      </c>
      <c r="C411" s="15" t="s">
        <v>2315</v>
      </c>
      <c r="D411" s="16"/>
      <c r="E411" s="16" t="s">
        <v>3352</v>
      </c>
      <c r="F411" s="16" t="s">
        <v>3353</v>
      </c>
      <c r="G411" s="16" t="str">
        <f>_xlfn.XLOOKUP( C411,RAW_DATA!B:B, RAW_DATA!Q:Q, "NOT FOUND" )</f>
        <v>2-s2.0-85174463337</v>
      </c>
      <c r="H411" s="1" t="b">
        <f t="shared" si="2"/>
        <v>0</v>
      </c>
      <c r="I411" s="1" t="b">
        <f t="shared" si="3"/>
        <v>0</v>
      </c>
    </row>
    <row r="412" spans="1:9" ht="15.75" customHeight="1">
      <c r="A412" s="14"/>
      <c r="B412" s="15" t="s">
        <v>2319</v>
      </c>
      <c r="C412" s="15" t="s">
        <v>2320</v>
      </c>
      <c r="D412" s="16"/>
      <c r="E412" s="16" t="s">
        <v>3352</v>
      </c>
      <c r="F412" s="16" t="s">
        <v>3353</v>
      </c>
      <c r="G412" s="16" t="str">
        <f>_xlfn.XLOOKUP( C412,RAW_DATA!B:B, RAW_DATA!Q:Q, "NOT FOUND" )</f>
        <v>2-s2.0-85203453556</v>
      </c>
      <c r="H412" s="1" t="b">
        <f t="shared" si="2"/>
        <v>0</v>
      </c>
      <c r="I412" s="1" t="b">
        <f t="shared" si="3"/>
        <v>0</v>
      </c>
    </row>
    <row r="413" spans="1:9" ht="15.75" customHeight="1">
      <c r="A413" s="14"/>
      <c r="B413" s="15" t="s">
        <v>2325</v>
      </c>
      <c r="C413" s="15" t="s">
        <v>2326</v>
      </c>
      <c r="D413" s="16"/>
      <c r="E413" s="16" t="s">
        <v>3352</v>
      </c>
      <c r="F413" s="16" t="s">
        <v>3353</v>
      </c>
      <c r="G413" s="16" t="str">
        <f>_xlfn.XLOOKUP( C413,RAW_DATA!B:B, RAW_DATA!Q:Q, "NOT FOUND" )</f>
        <v>2-s2.0-85173449859</v>
      </c>
      <c r="H413" s="1" t="b">
        <f t="shared" si="2"/>
        <v>0</v>
      </c>
      <c r="I413" s="1" t="b">
        <f t="shared" si="3"/>
        <v>0</v>
      </c>
    </row>
    <row r="414" spans="1:9" ht="15.75" customHeight="1">
      <c r="A414" s="14"/>
      <c r="B414" s="15" t="s">
        <v>2331</v>
      </c>
      <c r="C414" s="15" t="s">
        <v>2332</v>
      </c>
      <c r="D414" s="16"/>
      <c r="E414" s="16" t="s">
        <v>3353</v>
      </c>
      <c r="F414" s="16" t="s">
        <v>3353</v>
      </c>
      <c r="G414" s="16" t="str">
        <f>_xlfn.XLOOKUP( C414,RAW_DATA!B:B, RAW_DATA!Q:Q, "NOT FOUND" )</f>
        <v>2-s2.0-85178417322</v>
      </c>
      <c r="H414" s="1" t="b">
        <f t="shared" si="2"/>
        <v>0</v>
      </c>
      <c r="I414" s="1" t="b">
        <f t="shared" si="3"/>
        <v>0</v>
      </c>
    </row>
    <row r="415" spans="1:9" ht="15.75" customHeight="1">
      <c r="A415" s="14"/>
      <c r="B415" s="15" t="s">
        <v>2336</v>
      </c>
      <c r="C415" s="15" t="s">
        <v>2337</v>
      </c>
      <c r="D415" s="16"/>
      <c r="E415" s="16" t="s">
        <v>3352</v>
      </c>
      <c r="F415" s="16" t="s">
        <v>3353</v>
      </c>
      <c r="G415" s="16" t="str">
        <f>_xlfn.XLOOKUP( C415,RAW_DATA!B:B, RAW_DATA!Q:Q, "NOT FOUND" )</f>
        <v>2-s2.0-105000109744</v>
      </c>
      <c r="H415" s="1" t="b">
        <f t="shared" si="2"/>
        <v>0</v>
      </c>
      <c r="I415" s="1" t="b">
        <f t="shared" si="3"/>
        <v>0</v>
      </c>
    </row>
    <row r="416" spans="1:9" ht="15.75" customHeight="1">
      <c r="A416" s="14"/>
      <c r="B416" s="15" t="s">
        <v>2341</v>
      </c>
      <c r="C416" s="15" t="s">
        <v>2342</v>
      </c>
      <c r="D416" s="16"/>
      <c r="E416" s="16" t="s">
        <v>3353</v>
      </c>
      <c r="F416" s="16" t="s">
        <v>3353</v>
      </c>
      <c r="G416" s="16" t="str">
        <f>_xlfn.XLOOKUP( C416,RAW_DATA!B:B, RAW_DATA!Q:Q, "NOT FOUND" )</f>
        <v>2-s2.0-85147269996</v>
      </c>
      <c r="H416" s="1" t="b">
        <f t="shared" si="2"/>
        <v>0</v>
      </c>
      <c r="I416" s="1" t="b">
        <f t="shared" si="3"/>
        <v>0</v>
      </c>
    </row>
    <row r="417" spans="1:9" ht="15.75" customHeight="1">
      <c r="A417" s="14"/>
      <c r="B417" s="15" t="s">
        <v>2347</v>
      </c>
      <c r="C417" s="15" t="s">
        <v>2348</v>
      </c>
      <c r="D417" s="16"/>
      <c r="E417" s="16" t="s">
        <v>3352</v>
      </c>
      <c r="F417" s="16" t="s">
        <v>3353</v>
      </c>
      <c r="G417" s="16" t="str">
        <f>_xlfn.XLOOKUP( C417,RAW_DATA!B:B, RAW_DATA!Q:Q, "NOT FOUND" )</f>
        <v>2-s2.0-85060949739</v>
      </c>
      <c r="H417" s="1" t="b">
        <f t="shared" si="2"/>
        <v>0</v>
      </c>
      <c r="I417" s="1" t="b">
        <f t="shared" si="3"/>
        <v>0</v>
      </c>
    </row>
    <row r="418" spans="1:9" ht="15.75" customHeight="1">
      <c r="A418" s="14"/>
      <c r="B418" s="15" t="s">
        <v>2352</v>
      </c>
      <c r="C418" s="15" t="s">
        <v>2353</v>
      </c>
      <c r="D418" s="16"/>
      <c r="E418" s="16" t="s">
        <v>3353</v>
      </c>
      <c r="F418" s="16" t="s">
        <v>3353</v>
      </c>
      <c r="G418" s="16" t="str">
        <f>_xlfn.XLOOKUP( C418,RAW_DATA!B:B, RAW_DATA!Q:Q, "NOT FOUND" )</f>
        <v>2-s2.0-85028063436</v>
      </c>
      <c r="H418" s="1" t="b">
        <f t="shared" si="2"/>
        <v>0</v>
      </c>
      <c r="I418" s="1" t="b">
        <f t="shared" si="3"/>
        <v>0</v>
      </c>
    </row>
    <row r="419" spans="1:9" ht="15.75" customHeight="1">
      <c r="A419" s="14"/>
      <c r="B419" s="15" t="s">
        <v>2358</v>
      </c>
      <c r="C419" s="15" t="s">
        <v>2359</v>
      </c>
      <c r="D419" s="16"/>
      <c r="E419" s="16" t="s">
        <v>3352</v>
      </c>
      <c r="F419" s="16" t="s">
        <v>3353</v>
      </c>
      <c r="G419" s="16" t="str">
        <f>_xlfn.XLOOKUP( C419,RAW_DATA!B:B, RAW_DATA!Q:Q, "NOT FOUND" )</f>
        <v>2-s2.0-85140980364</v>
      </c>
      <c r="H419" s="1" t="b">
        <f t="shared" si="2"/>
        <v>0</v>
      </c>
      <c r="I419" s="1" t="b">
        <f t="shared" si="3"/>
        <v>0</v>
      </c>
    </row>
    <row r="420" spans="1:9" ht="15.75" customHeight="1">
      <c r="A420" s="14"/>
      <c r="B420" s="15" t="s">
        <v>2363</v>
      </c>
      <c r="C420" s="15" t="s">
        <v>2364</v>
      </c>
      <c r="D420" s="16"/>
      <c r="E420" s="16" t="s">
        <v>3353</v>
      </c>
      <c r="F420" s="16" t="s">
        <v>3353</v>
      </c>
      <c r="G420" s="16" t="str">
        <f>_xlfn.XLOOKUP( C420,RAW_DATA!B:B, RAW_DATA!Q:Q, "NOT FOUND" )</f>
        <v>2-s2.0-85123028024</v>
      </c>
      <c r="H420" s="1" t="b">
        <f t="shared" si="2"/>
        <v>0</v>
      </c>
      <c r="I420" s="1" t="b">
        <f t="shared" si="3"/>
        <v>0</v>
      </c>
    </row>
    <row r="421" spans="1:9" ht="15.75" customHeight="1">
      <c r="A421" s="14"/>
      <c r="B421" s="15" t="s">
        <v>2368</v>
      </c>
      <c r="C421" s="15" t="s">
        <v>2369</v>
      </c>
      <c r="D421" s="16"/>
      <c r="E421" s="16" t="s">
        <v>3353</v>
      </c>
      <c r="F421" s="16" t="s">
        <v>3353</v>
      </c>
      <c r="G421" s="16" t="str">
        <f>_xlfn.XLOOKUP( C421,RAW_DATA!B:B, RAW_DATA!Q:Q, "NOT FOUND" )</f>
        <v>2-s2.0-85050877861</v>
      </c>
      <c r="H421" s="1" t="b">
        <f t="shared" si="2"/>
        <v>0</v>
      </c>
      <c r="I421" s="1" t="b">
        <f t="shared" si="3"/>
        <v>0</v>
      </c>
    </row>
    <row r="422" spans="1:9" ht="15.75" customHeight="1">
      <c r="A422" s="14"/>
      <c r="B422" s="15" t="s">
        <v>2374</v>
      </c>
      <c r="C422" s="15" t="s">
        <v>2375</v>
      </c>
      <c r="D422" s="16"/>
      <c r="E422" s="16" t="s">
        <v>3352</v>
      </c>
      <c r="F422" s="16" t="s">
        <v>3353</v>
      </c>
      <c r="G422" s="16" t="str">
        <f>_xlfn.XLOOKUP( C422,RAW_DATA!B:B, RAW_DATA!Q:Q, "NOT FOUND" )</f>
        <v>2-s2.0-85045197354</v>
      </c>
      <c r="H422" s="1" t="b">
        <f t="shared" si="2"/>
        <v>0</v>
      </c>
      <c r="I422" s="1" t="b">
        <f t="shared" si="3"/>
        <v>0</v>
      </c>
    </row>
    <row r="423" spans="1:9" ht="15.75" customHeight="1">
      <c r="A423" s="14"/>
      <c r="B423" s="15" t="s">
        <v>2380</v>
      </c>
      <c r="C423" s="15" t="s">
        <v>2381</v>
      </c>
      <c r="D423" s="16"/>
      <c r="E423" s="16" t="s">
        <v>3352</v>
      </c>
      <c r="F423" s="16" t="s">
        <v>3353</v>
      </c>
      <c r="G423" s="16" t="str">
        <f>_xlfn.XLOOKUP( C423,RAW_DATA!B:B, RAW_DATA!Q:Q, "NOT FOUND" )</f>
        <v>2-s2.0-85009932351</v>
      </c>
      <c r="H423" s="1" t="b">
        <f t="shared" si="2"/>
        <v>0</v>
      </c>
      <c r="I423" s="1" t="b">
        <f t="shared" si="3"/>
        <v>0</v>
      </c>
    </row>
    <row r="424" spans="1:9" ht="15.75" customHeight="1">
      <c r="A424" s="14"/>
      <c r="B424" s="15" t="s">
        <v>2385</v>
      </c>
      <c r="C424" s="15" t="s">
        <v>2386</v>
      </c>
      <c r="D424" s="16"/>
      <c r="E424" s="16" t="s">
        <v>3353</v>
      </c>
      <c r="F424" s="16" t="s">
        <v>3353</v>
      </c>
      <c r="G424" s="16" t="str">
        <f>_xlfn.XLOOKUP( C424,RAW_DATA!B:B, RAW_DATA!Q:Q, "NOT FOUND" )</f>
        <v>2-s2.0-85070617304</v>
      </c>
      <c r="H424" s="1" t="b">
        <f t="shared" si="2"/>
        <v>0</v>
      </c>
      <c r="I424" s="1" t="b">
        <f t="shared" si="3"/>
        <v>0</v>
      </c>
    </row>
    <row r="425" spans="1:9" ht="15.75" customHeight="1">
      <c r="A425" s="14"/>
      <c r="B425" s="15" t="s">
        <v>2391</v>
      </c>
      <c r="C425" s="15" t="s">
        <v>2392</v>
      </c>
      <c r="D425" s="16"/>
      <c r="E425" s="16" t="s">
        <v>3353</v>
      </c>
      <c r="F425" s="16" t="s">
        <v>3353</v>
      </c>
      <c r="G425" s="16" t="str">
        <f>_xlfn.XLOOKUP( C425,RAW_DATA!B:B, RAW_DATA!Q:Q, "NOT FOUND" )</f>
        <v>2-s2.0-85164222404</v>
      </c>
      <c r="H425" s="1" t="b">
        <f t="shared" si="2"/>
        <v>0</v>
      </c>
      <c r="I425" s="1" t="b">
        <f t="shared" si="3"/>
        <v>0</v>
      </c>
    </row>
    <row r="426" spans="1:9" ht="15.75" customHeight="1">
      <c r="A426" s="14"/>
      <c r="B426" s="15" t="s">
        <v>2396</v>
      </c>
      <c r="C426" s="15" t="s">
        <v>2397</v>
      </c>
      <c r="D426" s="16"/>
      <c r="E426" s="16" t="s">
        <v>3353</v>
      </c>
      <c r="F426" s="16" t="s">
        <v>3353</v>
      </c>
      <c r="G426" s="16" t="str">
        <f>_xlfn.XLOOKUP( C426,RAW_DATA!B:B, RAW_DATA!Q:Q, "NOT FOUND" )</f>
        <v>2-s2.0-85126388718</v>
      </c>
      <c r="H426" s="1" t="b">
        <f t="shared" si="2"/>
        <v>0</v>
      </c>
      <c r="I426" s="1" t="b">
        <f t="shared" si="3"/>
        <v>0</v>
      </c>
    </row>
    <row r="427" spans="1:9" ht="15.75" customHeight="1">
      <c r="A427" s="14"/>
      <c r="B427" s="15" t="s">
        <v>2402</v>
      </c>
      <c r="C427" s="15" t="s">
        <v>2403</v>
      </c>
      <c r="D427" s="16"/>
      <c r="E427" s="16" t="s">
        <v>3353</v>
      </c>
      <c r="F427" s="16" t="s">
        <v>3353</v>
      </c>
      <c r="G427" s="16" t="str">
        <f>_xlfn.XLOOKUP( C427,RAW_DATA!B:B, RAW_DATA!Q:Q, "NOT FOUND" )</f>
        <v>2-s2.0-85028257136</v>
      </c>
      <c r="H427" s="1" t="b">
        <f t="shared" si="2"/>
        <v>0</v>
      </c>
      <c r="I427" s="1" t="b">
        <f t="shared" si="3"/>
        <v>0</v>
      </c>
    </row>
    <row r="428" spans="1:9" ht="15.75" customHeight="1">
      <c r="A428" s="14"/>
      <c r="B428" s="15" t="s">
        <v>2407</v>
      </c>
      <c r="C428" s="15" t="s">
        <v>2408</v>
      </c>
      <c r="D428" s="16"/>
      <c r="E428" s="16" t="s">
        <v>3352</v>
      </c>
      <c r="F428" s="16" t="s">
        <v>3353</v>
      </c>
      <c r="G428" s="16" t="str">
        <f>_xlfn.XLOOKUP( C428,RAW_DATA!B:B, RAW_DATA!Q:Q, "NOT FOUND" )</f>
        <v>2-s2.0-85092058186</v>
      </c>
      <c r="H428" s="1" t="b">
        <f t="shared" si="2"/>
        <v>0</v>
      </c>
      <c r="I428" s="1" t="b">
        <f t="shared" si="3"/>
        <v>0</v>
      </c>
    </row>
    <row r="429" spans="1:9" ht="15.75" customHeight="1">
      <c r="A429" s="14"/>
      <c r="B429" s="15" t="s">
        <v>2412</v>
      </c>
      <c r="C429" s="15" t="s">
        <v>2413</v>
      </c>
      <c r="D429" s="16"/>
      <c r="E429" s="16" t="s">
        <v>3352</v>
      </c>
      <c r="F429" s="16" t="s">
        <v>3353</v>
      </c>
      <c r="G429" s="16" t="str">
        <f>_xlfn.XLOOKUP( C429,RAW_DATA!B:B, RAW_DATA!Q:Q, "NOT FOUND" )</f>
        <v>2-s2.0-85132821601</v>
      </c>
      <c r="H429" s="1" t="b">
        <f t="shared" si="2"/>
        <v>0</v>
      </c>
      <c r="I429" s="1" t="b">
        <f t="shared" si="3"/>
        <v>0</v>
      </c>
    </row>
    <row r="430" spans="1:9" ht="15.75" customHeight="1">
      <c r="A430" s="14"/>
      <c r="B430" s="15" t="s">
        <v>2417</v>
      </c>
      <c r="C430" s="15" t="s">
        <v>2418</v>
      </c>
      <c r="D430" s="16"/>
      <c r="E430" s="16" t="s">
        <v>3353</v>
      </c>
      <c r="F430" s="16" t="s">
        <v>3353</v>
      </c>
      <c r="G430" s="16" t="str">
        <f>_xlfn.XLOOKUP( C430,RAW_DATA!B:B, RAW_DATA!Q:Q, "NOT FOUND" )</f>
        <v>2-s2.0-85091967064</v>
      </c>
      <c r="H430" s="1" t="b">
        <f t="shared" si="2"/>
        <v>0</v>
      </c>
      <c r="I430" s="1" t="b">
        <f t="shared" si="3"/>
        <v>0</v>
      </c>
    </row>
    <row r="431" spans="1:9" ht="15.75" customHeight="1">
      <c r="A431" s="14"/>
      <c r="B431" s="15" t="s">
        <v>2422</v>
      </c>
      <c r="C431" s="15" t="s">
        <v>2423</v>
      </c>
      <c r="D431" s="16"/>
      <c r="E431" s="16" t="s">
        <v>3353</v>
      </c>
      <c r="F431" s="16" t="s">
        <v>3353</v>
      </c>
      <c r="G431" s="16" t="str">
        <f>_xlfn.XLOOKUP( C431,RAW_DATA!B:B, RAW_DATA!Q:Q, "NOT FOUND" )</f>
        <v>2-s2.0-85178903976</v>
      </c>
      <c r="H431" s="1" t="b">
        <f t="shared" si="2"/>
        <v>0</v>
      </c>
      <c r="I431" s="1" t="b">
        <f t="shared" si="3"/>
        <v>0</v>
      </c>
    </row>
    <row r="432" spans="1:9" ht="15.75" customHeight="1">
      <c r="A432" s="14"/>
      <c r="B432" s="15" t="s">
        <v>2428</v>
      </c>
      <c r="C432" s="15" t="s">
        <v>2429</v>
      </c>
      <c r="D432" s="16"/>
      <c r="E432" s="16" t="s">
        <v>3353</v>
      </c>
      <c r="F432" s="16" t="s">
        <v>3353</v>
      </c>
      <c r="G432" s="16" t="str">
        <f>_xlfn.XLOOKUP( C432,RAW_DATA!B:B, RAW_DATA!Q:Q, "NOT FOUND" )</f>
        <v>2-s2.0-85045289928</v>
      </c>
      <c r="H432" s="1" t="b">
        <f t="shared" si="2"/>
        <v>0</v>
      </c>
      <c r="I432" s="1" t="b">
        <f t="shared" si="3"/>
        <v>0</v>
      </c>
    </row>
    <row r="433" spans="1:9" ht="15.75" customHeight="1">
      <c r="A433" s="14"/>
      <c r="B433" s="15" t="s">
        <v>2433</v>
      </c>
      <c r="C433" s="15" t="s">
        <v>2434</v>
      </c>
      <c r="D433" s="16"/>
      <c r="E433" s="16" t="s">
        <v>3352</v>
      </c>
      <c r="F433" s="16" t="s">
        <v>3353</v>
      </c>
      <c r="G433" s="16" t="str">
        <f>_xlfn.XLOOKUP( C433,RAW_DATA!B:B, RAW_DATA!Q:Q, "NOT FOUND" )</f>
        <v>2-s2.0-85139965868</v>
      </c>
      <c r="H433" s="1" t="b">
        <f t="shared" si="2"/>
        <v>0</v>
      </c>
      <c r="I433" s="1" t="b">
        <f t="shared" si="3"/>
        <v>0</v>
      </c>
    </row>
    <row r="434" spans="1:9" ht="15.75" customHeight="1">
      <c r="A434" s="14"/>
      <c r="B434" s="15" t="s">
        <v>2438</v>
      </c>
      <c r="C434" s="15" t="s">
        <v>2439</v>
      </c>
      <c r="D434" s="16"/>
      <c r="E434" s="16" t="s">
        <v>3352</v>
      </c>
      <c r="F434" s="16" t="s">
        <v>3353</v>
      </c>
      <c r="G434" s="16" t="str">
        <f>_xlfn.XLOOKUP( C434,RAW_DATA!B:B, RAW_DATA!Q:Q, "NOT FOUND" )</f>
        <v>2-s2.0-85129552481</v>
      </c>
      <c r="H434" s="1" t="b">
        <f t="shared" si="2"/>
        <v>0</v>
      </c>
      <c r="I434" s="1" t="b">
        <f t="shared" si="3"/>
        <v>0</v>
      </c>
    </row>
    <row r="435" spans="1:9" ht="15.75" customHeight="1">
      <c r="A435" s="14"/>
      <c r="B435" s="15" t="s">
        <v>2444</v>
      </c>
      <c r="C435" s="15" t="s">
        <v>2445</v>
      </c>
      <c r="D435" s="16"/>
      <c r="E435" s="16" t="s">
        <v>3353</v>
      </c>
      <c r="F435" s="16" t="s">
        <v>3353</v>
      </c>
      <c r="G435" s="16" t="str">
        <f>_xlfn.XLOOKUP( C435,RAW_DATA!B:B, RAW_DATA!Q:Q, "NOT FOUND" )</f>
        <v>2-s2.0-85098650021</v>
      </c>
      <c r="H435" s="1" t="b">
        <f t="shared" si="2"/>
        <v>0</v>
      </c>
      <c r="I435" s="1" t="b">
        <f t="shared" si="3"/>
        <v>0</v>
      </c>
    </row>
    <row r="436" spans="1:9" ht="15.75" customHeight="1">
      <c r="A436" s="14"/>
      <c r="B436" s="15" t="s">
        <v>2449</v>
      </c>
      <c r="C436" s="15" t="s">
        <v>2450</v>
      </c>
      <c r="D436" s="16"/>
      <c r="E436" s="16" t="s">
        <v>3353</v>
      </c>
      <c r="F436" s="16" t="s">
        <v>3353</v>
      </c>
      <c r="G436" s="16" t="str">
        <f>_xlfn.XLOOKUP( C436,RAW_DATA!B:B, RAW_DATA!Q:Q, "NOT FOUND" )</f>
        <v>2-s2.0-85171261982</v>
      </c>
      <c r="H436" s="1" t="b">
        <f t="shared" si="2"/>
        <v>0</v>
      </c>
      <c r="I436" s="1" t="b">
        <f t="shared" si="3"/>
        <v>0</v>
      </c>
    </row>
    <row r="437" spans="1:9" ht="15.75" customHeight="1">
      <c r="A437" s="14"/>
      <c r="B437" s="15" t="s">
        <v>2455</v>
      </c>
      <c r="C437" s="15" t="s">
        <v>2456</v>
      </c>
      <c r="D437" s="16"/>
      <c r="E437" s="16" t="s">
        <v>3353</v>
      </c>
      <c r="F437" s="16" t="s">
        <v>3353</v>
      </c>
      <c r="G437" s="16" t="str">
        <f>_xlfn.XLOOKUP( C437,RAW_DATA!B:B, RAW_DATA!Q:Q, "NOT FOUND" )</f>
        <v>2-s2.0-85062765017</v>
      </c>
      <c r="H437" s="1" t="b">
        <f t="shared" si="2"/>
        <v>0</v>
      </c>
      <c r="I437" s="1" t="b">
        <f t="shared" si="3"/>
        <v>0</v>
      </c>
    </row>
    <row r="438" spans="1:9" ht="15.75" customHeight="1">
      <c r="A438" s="14"/>
      <c r="B438" s="15" t="s">
        <v>2461</v>
      </c>
      <c r="C438" s="15" t="s">
        <v>2462</v>
      </c>
      <c r="D438" s="16"/>
      <c r="E438" s="16" t="s">
        <v>3352</v>
      </c>
      <c r="F438" s="16" t="s">
        <v>3353</v>
      </c>
      <c r="G438" s="16" t="str">
        <f>_xlfn.XLOOKUP( C438,RAW_DATA!B:B, RAW_DATA!Q:Q, "NOT FOUND" )</f>
        <v>2-s2.0-85135896180</v>
      </c>
      <c r="H438" s="1" t="b">
        <f t="shared" si="2"/>
        <v>0</v>
      </c>
      <c r="I438" s="1" t="b">
        <f t="shared" si="3"/>
        <v>0</v>
      </c>
    </row>
    <row r="439" spans="1:9" ht="15.75" customHeight="1">
      <c r="A439" s="14"/>
      <c r="B439" s="15" t="s">
        <v>2466</v>
      </c>
      <c r="C439" s="15" t="s">
        <v>2467</v>
      </c>
      <c r="D439" s="16"/>
      <c r="E439" s="16" t="s">
        <v>3353</v>
      </c>
      <c r="F439" s="16" t="s">
        <v>3353</v>
      </c>
      <c r="G439" s="16" t="str">
        <f>_xlfn.XLOOKUP( C439,RAW_DATA!B:B, RAW_DATA!Q:Q, "NOT FOUND" )</f>
        <v>2-s2.0-85127146666</v>
      </c>
      <c r="H439" s="1" t="b">
        <f t="shared" si="2"/>
        <v>0</v>
      </c>
      <c r="I439" s="1" t="b">
        <f t="shared" si="3"/>
        <v>0</v>
      </c>
    </row>
    <row r="440" spans="1:9" ht="15.75" customHeight="1">
      <c r="A440" s="14"/>
      <c r="B440" s="15" t="s">
        <v>2472</v>
      </c>
      <c r="C440" s="15" t="s">
        <v>2473</v>
      </c>
      <c r="D440" s="16"/>
      <c r="E440" s="16" t="s">
        <v>3352</v>
      </c>
      <c r="F440" s="16" t="s">
        <v>3353</v>
      </c>
      <c r="G440" s="16" t="str">
        <f>_xlfn.XLOOKUP( C440,RAW_DATA!B:B, RAW_DATA!Q:Q, "NOT FOUND" )</f>
        <v>2-s2.0-85114626599</v>
      </c>
      <c r="H440" s="1" t="b">
        <f t="shared" si="2"/>
        <v>0</v>
      </c>
      <c r="I440" s="1" t="b">
        <f t="shared" si="3"/>
        <v>0</v>
      </c>
    </row>
    <row r="441" spans="1:9" ht="15.75" customHeight="1">
      <c r="A441" s="14"/>
      <c r="B441" s="15" t="s">
        <v>2477</v>
      </c>
      <c r="C441" s="15" t="s">
        <v>2478</v>
      </c>
      <c r="D441" s="16"/>
      <c r="E441" s="16" t="s">
        <v>3352</v>
      </c>
      <c r="F441" s="16" t="s">
        <v>3353</v>
      </c>
      <c r="G441" s="16" t="str">
        <f>_xlfn.XLOOKUP( C441,RAW_DATA!B:B, RAW_DATA!Q:Q, "NOT FOUND" )</f>
        <v>2-s2.0-85129347035</v>
      </c>
      <c r="H441" s="1" t="b">
        <f t="shared" si="2"/>
        <v>0</v>
      </c>
      <c r="I441" s="1" t="b">
        <f t="shared" si="3"/>
        <v>0</v>
      </c>
    </row>
    <row r="442" spans="1:9" ht="15.75" customHeight="1">
      <c r="A442" s="14"/>
      <c r="B442" s="15" t="s">
        <v>2483</v>
      </c>
      <c r="C442" s="15" t="s">
        <v>2484</v>
      </c>
      <c r="D442" s="16"/>
      <c r="E442" s="16" t="s">
        <v>3353</v>
      </c>
      <c r="F442" s="16" t="s">
        <v>3353</v>
      </c>
      <c r="G442" s="16" t="str">
        <f>_xlfn.XLOOKUP( C442,RAW_DATA!B:B, RAW_DATA!Q:Q, "NOT FOUND" )</f>
        <v>2-s2.0-85002954113</v>
      </c>
      <c r="H442" s="1" t="b">
        <f t="shared" si="2"/>
        <v>0</v>
      </c>
      <c r="I442" s="1" t="b">
        <f t="shared" si="3"/>
        <v>0</v>
      </c>
    </row>
    <row r="443" spans="1:9" ht="15.75" customHeight="1">
      <c r="A443" s="14"/>
      <c r="B443" s="15" t="s">
        <v>2489</v>
      </c>
      <c r="C443" s="15" t="s">
        <v>2490</v>
      </c>
      <c r="D443" s="16"/>
      <c r="E443" s="16" t="s">
        <v>3353</v>
      </c>
      <c r="F443" s="16" t="s">
        <v>3353</v>
      </c>
      <c r="G443" s="16" t="str">
        <f>_xlfn.XLOOKUP( C443,RAW_DATA!B:B, RAW_DATA!Q:Q, "NOT FOUND" )</f>
        <v>2-s2.0-85160004296</v>
      </c>
      <c r="H443" s="1" t="b">
        <f t="shared" si="2"/>
        <v>0</v>
      </c>
      <c r="I443" s="1" t="b">
        <f t="shared" si="3"/>
        <v>0</v>
      </c>
    </row>
    <row r="444" spans="1:9" ht="15.75" customHeight="1">
      <c r="A444" s="14"/>
      <c r="B444" s="15" t="s">
        <v>2494</v>
      </c>
      <c r="C444" s="15" t="s">
        <v>2495</v>
      </c>
      <c r="D444" s="16"/>
      <c r="E444" s="16" t="s">
        <v>3352</v>
      </c>
      <c r="F444" s="16" t="s">
        <v>3353</v>
      </c>
      <c r="G444" s="16" t="str">
        <f>_xlfn.XLOOKUP( C444,RAW_DATA!B:B, RAW_DATA!Q:Q, "NOT FOUND" )</f>
        <v>2-s2.0-85071621548</v>
      </c>
      <c r="H444" s="1" t="b">
        <f t="shared" si="2"/>
        <v>0</v>
      </c>
      <c r="I444" s="1" t="b">
        <f t="shared" si="3"/>
        <v>0</v>
      </c>
    </row>
    <row r="445" spans="1:9" ht="15.75" customHeight="1">
      <c r="A445" s="14"/>
      <c r="B445" s="15" t="s">
        <v>2500</v>
      </c>
      <c r="C445" s="15" t="s">
        <v>2501</v>
      </c>
      <c r="D445" s="16"/>
      <c r="E445" s="16" t="s">
        <v>3353</v>
      </c>
      <c r="F445" s="16" t="s">
        <v>3353</v>
      </c>
      <c r="G445" s="16" t="str">
        <f>_xlfn.XLOOKUP( C445,RAW_DATA!B:B, RAW_DATA!Q:Q, "NOT FOUND" )</f>
        <v>2-s2.0-85117099103</v>
      </c>
      <c r="H445" s="1" t="b">
        <f t="shared" si="2"/>
        <v>0</v>
      </c>
      <c r="I445" s="1" t="b">
        <f t="shared" si="3"/>
        <v>0</v>
      </c>
    </row>
    <row r="446" spans="1:9" ht="15.75" customHeight="1">
      <c r="A446" s="14"/>
      <c r="B446" s="15" t="s">
        <v>2505</v>
      </c>
      <c r="C446" s="15" t="s">
        <v>2506</v>
      </c>
      <c r="D446" s="16"/>
      <c r="E446" s="16" t="s">
        <v>3353</v>
      </c>
      <c r="F446" s="16" t="s">
        <v>3353</v>
      </c>
      <c r="G446" s="16" t="str">
        <f>_xlfn.XLOOKUP( C446,RAW_DATA!B:B, RAW_DATA!Q:Q, "NOT FOUND" )</f>
        <v>2-s2.0-85127734910</v>
      </c>
      <c r="H446" s="1" t="b">
        <f t="shared" si="2"/>
        <v>0</v>
      </c>
      <c r="I446" s="1" t="b">
        <f t="shared" si="3"/>
        <v>0</v>
      </c>
    </row>
    <row r="447" spans="1:9" ht="15.75" customHeight="1">
      <c r="A447" s="14"/>
      <c r="B447" s="15" t="s">
        <v>2510</v>
      </c>
      <c r="C447" s="15" t="s">
        <v>2511</v>
      </c>
      <c r="D447" s="16"/>
      <c r="E447" s="16" t="s">
        <v>3352</v>
      </c>
      <c r="F447" s="16" t="s">
        <v>3353</v>
      </c>
      <c r="G447" s="16" t="str">
        <f>_xlfn.XLOOKUP( C447,RAW_DATA!B:B, RAW_DATA!Q:Q, "NOT FOUND" )</f>
        <v>2-s2.0-85132883478</v>
      </c>
      <c r="H447" s="1" t="b">
        <f t="shared" si="2"/>
        <v>0</v>
      </c>
      <c r="I447" s="1" t="b">
        <f t="shared" si="3"/>
        <v>0</v>
      </c>
    </row>
    <row r="448" spans="1:9" ht="15.75" customHeight="1">
      <c r="A448" s="14"/>
      <c r="B448" s="15" t="s">
        <v>2516</v>
      </c>
      <c r="C448" s="15" t="s">
        <v>2517</v>
      </c>
      <c r="D448" s="16"/>
      <c r="E448" s="16" t="s">
        <v>3352</v>
      </c>
      <c r="F448" s="16" t="s">
        <v>3353</v>
      </c>
      <c r="G448" s="16" t="str">
        <f>_xlfn.XLOOKUP( C448,RAW_DATA!B:B, RAW_DATA!Q:Q, "NOT FOUND" )</f>
        <v>2-s2.0-85054188364</v>
      </c>
      <c r="H448" s="1" t="b">
        <f t="shared" si="2"/>
        <v>0</v>
      </c>
      <c r="I448" s="1" t="b">
        <f t="shared" si="3"/>
        <v>0</v>
      </c>
    </row>
    <row r="449" spans="1:9" ht="15.75" customHeight="1">
      <c r="A449" s="14"/>
      <c r="B449" s="15" t="s">
        <v>2521</v>
      </c>
      <c r="C449" s="15" t="s">
        <v>2522</v>
      </c>
      <c r="D449" s="16"/>
      <c r="E449" s="16" t="s">
        <v>3353</v>
      </c>
      <c r="F449" s="16" t="s">
        <v>3353</v>
      </c>
      <c r="G449" s="16" t="str">
        <f>_xlfn.XLOOKUP( C449,RAW_DATA!B:B, RAW_DATA!Q:Q, "NOT FOUND" )</f>
        <v>2-s2.0-85130569803</v>
      </c>
      <c r="H449" s="1" t="b">
        <f t="shared" si="2"/>
        <v>0</v>
      </c>
      <c r="I449" s="1" t="b">
        <f t="shared" si="3"/>
        <v>0</v>
      </c>
    </row>
    <row r="450" spans="1:9" ht="15.75" customHeight="1">
      <c r="A450" s="14"/>
      <c r="B450" s="15" t="s">
        <v>2526</v>
      </c>
      <c r="C450" s="15" t="s">
        <v>2527</v>
      </c>
      <c r="D450" s="16"/>
      <c r="E450" s="16" t="s">
        <v>3352</v>
      </c>
      <c r="F450" s="16" t="s">
        <v>3353</v>
      </c>
      <c r="G450" s="16" t="str">
        <f>_xlfn.XLOOKUP( C450,RAW_DATA!B:B, RAW_DATA!Q:Q, "NOT FOUND" )</f>
        <v>2-s2.0-85050870877</v>
      </c>
      <c r="H450" s="1" t="b">
        <f t="shared" si="2"/>
        <v>0</v>
      </c>
      <c r="I450" s="1" t="b">
        <f t="shared" si="3"/>
        <v>0</v>
      </c>
    </row>
    <row r="451" spans="1:9" ht="15.75" customHeight="1">
      <c r="A451" s="14"/>
      <c r="B451" s="15" t="s">
        <v>2532</v>
      </c>
      <c r="C451" s="15" t="s">
        <v>2533</v>
      </c>
      <c r="D451" s="16"/>
      <c r="E451" s="16" t="s">
        <v>3353</v>
      </c>
      <c r="F451" s="16" t="s">
        <v>3353</v>
      </c>
      <c r="G451" s="16" t="str">
        <f>_xlfn.XLOOKUP( C451,RAW_DATA!B:B, RAW_DATA!Q:Q, "NOT FOUND" )</f>
        <v>2-s2.0-85127463614</v>
      </c>
      <c r="H451" s="1" t="b">
        <f t="shared" si="2"/>
        <v>0</v>
      </c>
      <c r="I451" s="1" t="b">
        <f t="shared" si="3"/>
        <v>0</v>
      </c>
    </row>
    <row r="452" spans="1:9" ht="15.75" customHeight="1">
      <c r="A452" s="14"/>
      <c r="B452" s="15" t="s">
        <v>2538</v>
      </c>
      <c r="C452" s="15" t="s">
        <v>2539</v>
      </c>
      <c r="D452" s="16"/>
      <c r="E452" s="16" t="s">
        <v>3353</v>
      </c>
      <c r="F452" s="16" t="s">
        <v>3353</v>
      </c>
      <c r="G452" s="16" t="str">
        <f>_xlfn.XLOOKUP( C452,RAW_DATA!B:B, RAW_DATA!Q:Q, "NOT FOUND" )</f>
        <v>2-s2.0-85105803279</v>
      </c>
      <c r="H452" s="1" t="b">
        <f t="shared" si="2"/>
        <v>0</v>
      </c>
      <c r="I452" s="1" t="b">
        <f t="shared" si="3"/>
        <v>0</v>
      </c>
    </row>
    <row r="453" spans="1:9" ht="15.75" customHeight="1">
      <c r="A453" s="14"/>
      <c r="B453" s="15" t="s">
        <v>2543</v>
      </c>
      <c r="C453" s="15" t="s">
        <v>2544</v>
      </c>
      <c r="D453" s="16"/>
      <c r="E453" s="16" t="s">
        <v>3353</v>
      </c>
      <c r="F453" s="16" t="s">
        <v>3353</v>
      </c>
      <c r="G453" s="16" t="str">
        <f>_xlfn.XLOOKUP( C453,RAW_DATA!B:B, RAW_DATA!Q:Q, "NOT FOUND" )</f>
        <v>2-s2.0-85165266652</v>
      </c>
      <c r="H453" s="1" t="b">
        <f t="shared" si="2"/>
        <v>0</v>
      </c>
      <c r="I453" s="1" t="b">
        <f t="shared" si="3"/>
        <v>0</v>
      </c>
    </row>
    <row r="454" spans="1:9" ht="15.75" customHeight="1">
      <c r="A454" s="14"/>
      <c r="B454" s="15" t="s">
        <v>2549</v>
      </c>
      <c r="C454" s="15" t="s">
        <v>2550</v>
      </c>
      <c r="D454" s="16"/>
      <c r="E454" s="16" t="s">
        <v>3352</v>
      </c>
      <c r="F454" s="16" t="s">
        <v>3353</v>
      </c>
      <c r="G454" s="16" t="str">
        <f>_xlfn.XLOOKUP( C454,RAW_DATA!B:B, RAW_DATA!Q:Q, "NOT FOUND" )</f>
        <v>2-s2.0-85182997655</v>
      </c>
      <c r="H454" s="1" t="b">
        <f t="shared" si="2"/>
        <v>0</v>
      </c>
      <c r="I454" s="1" t="b">
        <f t="shared" si="3"/>
        <v>0</v>
      </c>
    </row>
    <row r="455" spans="1:9" ht="15.75" customHeight="1">
      <c r="A455" s="14"/>
      <c r="B455" s="15" t="s">
        <v>2555</v>
      </c>
      <c r="C455" s="15" t="s">
        <v>2556</v>
      </c>
      <c r="D455" s="16"/>
      <c r="E455" s="16" t="s">
        <v>3353</v>
      </c>
      <c r="F455" s="16" t="s">
        <v>3353</v>
      </c>
      <c r="G455" s="16" t="str">
        <f>_xlfn.XLOOKUP( C455,RAW_DATA!B:B, RAW_DATA!Q:Q, "NOT FOUND" )</f>
        <v>2-s2.0-85147088416</v>
      </c>
      <c r="H455" s="1" t="b">
        <f t="shared" si="2"/>
        <v>0</v>
      </c>
      <c r="I455" s="1" t="b">
        <f t="shared" si="3"/>
        <v>0</v>
      </c>
    </row>
    <row r="456" spans="1:9" ht="15.75" customHeight="1">
      <c r="A456" s="14"/>
      <c r="B456" s="15" t="s">
        <v>2560</v>
      </c>
      <c r="C456" s="15" t="s">
        <v>2561</v>
      </c>
      <c r="D456" s="16"/>
      <c r="E456" s="16" t="s">
        <v>3353</v>
      </c>
      <c r="F456" s="16" t="s">
        <v>3353</v>
      </c>
      <c r="G456" s="16" t="str">
        <f>_xlfn.XLOOKUP( C456,RAW_DATA!B:B, RAW_DATA!Q:Q, "NOT FOUND" )</f>
        <v>2-s2.0-85159333623</v>
      </c>
      <c r="H456" s="1" t="b">
        <f t="shared" si="2"/>
        <v>0</v>
      </c>
      <c r="I456" s="1" t="b">
        <f t="shared" si="3"/>
        <v>0</v>
      </c>
    </row>
    <row r="457" spans="1:9" ht="15.75" customHeight="1">
      <c r="A457" s="14"/>
      <c r="B457" s="15" t="s">
        <v>2565</v>
      </c>
      <c r="C457" s="15" t="s">
        <v>2566</v>
      </c>
      <c r="D457" s="16"/>
      <c r="E457" s="16" t="s">
        <v>3353</v>
      </c>
      <c r="F457" s="16" t="s">
        <v>3353</v>
      </c>
      <c r="G457" s="16" t="str">
        <f>_xlfn.XLOOKUP( C457,RAW_DATA!B:B, RAW_DATA!Q:Q, "NOT FOUND" )</f>
        <v>2-s2.0-85076738255</v>
      </c>
      <c r="H457" s="1" t="b">
        <f t="shared" si="2"/>
        <v>0</v>
      </c>
      <c r="I457" s="1" t="b">
        <f t="shared" si="3"/>
        <v>0</v>
      </c>
    </row>
    <row r="458" spans="1:9" ht="15.75" customHeight="1">
      <c r="A458" s="14"/>
      <c r="B458" s="15" t="s">
        <v>2571</v>
      </c>
      <c r="C458" s="15" t="s">
        <v>2572</v>
      </c>
      <c r="D458" s="16"/>
      <c r="E458" s="16" t="s">
        <v>3352</v>
      </c>
      <c r="F458" s="16" t="s">
        <v>3353</v>
      </c>
      <c r="G458" s="16" t="str">
        <f>_xlfn.XLOOKUP( C458,RAW_DATA!B:B, RAW_DATA!Q:Q, "NOT FOUND" )</f>
        <v>2-s2.0-85123566685</v>
      </c>
      <c r="H458" s="1" t="b">
        <f t="shared" si="2"/>
        <v>0</v>
      </c>
      <c r="I458" s="1" t="b">
        <f t="shared" si="3"/>
        <v>0</v>
      </c>
    </row>
    <row r="459" spans="1:9" ht="15.75" customHeight="1">
      <c r="A459" s="14"/>
      <c r="B459" s="15" t="s">
        <v>2578</v>
      </c>
      <c r="C459" s="15" t="s">
        <v>2579</v>
      </c>
      <c r="D459" s="16"/>
      <c r="E459" s="16" t="s">
        <v>3353</v>
      </c>
      <c r="F459" s="16" t="s">
        <v>3353</v>
      </c>
      <c r="G459" s="16" t="str">
        <f>_xlfn.XLOOKUP( C459,RAW_DATA!B:B, RAW_DATA!Q:Q, "NOT FOUND" )</f>
        <v>2-s2.0-85093094543</v>
      </c>
      <c r="H459" s="1" t="b">
        <f t="shared" si="2"/>
        <v>0</v>
      </c>
      <c r="I459" s="1" t="b">
        <f t="shared" si="3"/>
        <v>0</v>
      </c>
    </row>
    <row r="460" spans="1:9" ht="15.75" customHeight="1">
      <c r="A460" s="14"/>
      <c r="B460" s="15" t="s">
        <v>2584</v>
      </c>
      <c r="C460" s="15" t="s">
        <v>2585</v>
      </c>
      <c r="D460" s="16"/>
      <c r="E460" s="16" t="s">
        <v>3352</v>
      </c>
      <c r="F460" s="16" t="s">
        <v>3353</v>
      </c>
      <c r="G460" s="16" t="str">
        <f>_xlfn.XLOOKUP( C460,RAW_DATA!B:B, RAW_DATA!Q:Q, "NOT FOUND" )</f>
        <v>2-s2.0-85130250001</v>
      </c>
      <c r="H460" s="1" t="b">
        <f t="shared" si="2"/>
        <v>0</v>
      </c>
      <c r="I460" s="1" t="b">
        <f t="shared" si="3"/>
        <v>0</v>
      </c>
    </row>
    <row r="461" spans="1:9" ht="15.75" customHeight="1">
      <c r="A461" s="14"/>
      <c r="B461" s="15" t="s">
        <v>2589</v>
      </c>
      <c r="C461" s="15" t="s">
        <v>2590</v>
      </c>
      <c r="D461" s="16"/>
      <c r="E461" s="16" t="s">
        <v>3353</v>
      </c>
      <c r="F461" s="16" t="s">
        <v>3353</v>
      </c>
      <c r="G461" s="16" t="str">
        <f>_xlfn.XLOOKUP( C461,RAW_DATA!B:B, RAW_DATA!Q:Q, "NOT FOUND" )</f>
        <v>2-s2.0-85044852780</v>
      </c>
      <c r="H461" s="1" t="b">
        <f t="shared" si="2"/>
        <v>0</v>
      </c>
      <c r="I461" s="1" t="b">
        <f t="shared" si="3"/>
        <v>0</v>
      </c>
    </row>
    <row r="462" spans="1:9" ht="15.75" customHeight="1">
      <c r="A462" s="14"/>
      <c r="B462" s="15" t="s">
        <v>2594</v>
      </c>
      <c r="C462" s="15" t="s">
        <v>2595</v>
      </c>
      <c r="D462" s="16"/>
      <c r="E462" s="16" t="s">
        <v>3352</v>
      </c>
      <c r="F462" s="16" t="s">
        <v>3353</v>
      </c>
      <c r="G462" s="16" t="str">
        <f>_xlfn.XLOOKUP( C462,RAW_DATA!B:B, RAW_DATA!Q:Q, "NOT FOUND" )</f>
        <v>2-s2.0-85199606619</v>
      </c>
      <c r="H462" s="1" t="b">
        <f t="shared" si="2"/>
        <v>0</v>
      </c>
      <c r="I462" s="1" t="b">
        <f t="shared" si="3"/>
        <v>0</v>
      </c>
    </row>
    <row r="463" spans="1:9" ht="15.75" customHeight="1">
      <c r="A463" s="14"/>
      <c r="B463" s="15" t="s">
        <v>2599</v>
      </c>
      <c r="C463" s="15" t="s">
        <v>2600</v>
      </c>
      <c r="D463" s="16"/>
      <c r="E463" s="16" t="s">
        <v>3353</v>
      </c>
      <c r="F463" s="16" t="s">
        <v>3353</v>
      </c>
      <c r="G463" s="16" t="str">
        <f>_xlfn.XLOOKUP( C463,RAW_DATA!B:B, RAW_DATA!Q:Q, "NOT FOUND" )</f>
        <v>2-s2.0-85106763897</v>
      </c>
      <c r="H463" s="1" t="b">
        <f t="shared" si="2"/>
        <v>0</v>
      </c>
      <c r="I463" s="1" t="b">
        <f t="shared" si="3"/>
        <v>0</v>
      </c>
    </row>
    <row r="464" spans="1:9" ht="15.75" customHeight="1">
      <c r="A464" s="14"/>
      <c r="B464" s="15" t="s">
        <v>2604</v>
      </c>
      <c r="C464" s="15" t="s">
        <v>2605</v>
      </c>
      <c r="D464" s="16"/>
      <c r="E464" s="16" t="s">
        <v>3352</v>
      </c>
      <c r="F464" s="16" t="s">
        <v>3353</v>
      </c>
      <c r="G464" s="16" t="str">
        <f>_xlfn.XLOOKUP( C464,RAW_DATA!B:B, RAW_DATA!Q:Q, "NOT FOUND" )</f>
        <v>2-s2.0-85070783999</v>
      </c>
      <c r="H464" s="1" t="b">
        <f t="shared" si="2"/>
        <v>0</v>
      </c>
      <c r="I464" s="1" t="b">
        <f t="shared" si="3"/>
        <v>0</v>
      </c>
    </row>
    <row r="465" spans="1:9" ht="15.75" customHeight="1">
      <c r="A465" s="14"/>
      <c r="B465" s="15" t="s">
        <v>2610</v>
      </c>
      <c r="C465" s="15" t="s">
        <v>2611</v>
      </c>
      <c r="D465" s="16"/>
      <c r="E465" s="16" t="s">
        <v>3353</v>
      </c>
      <c r="F465" s="16" t="s">
        <v>3353</v>
      </c>
      <c r="G465" s="16" t="str">
        <f>_xlfn.XLOOKUP( C465,RAW_DATA!B:B, RAW_DATA!Q:Q, "NOT FOUND" )</f>
        <v>2-s2.0-85116501652</v>
      </c>
      <c r="H465" s="1" t="b">
        <f t="shared" si="2"/>
        <v>0</v>
      </c>
      <c r="I465" s="1" t="b">
        <f t="shared" si="3"/>
        <v>0</v>
      </c>
    </row>
    <row r="466" spans="1:9" ht="15.75" customHeight="1">
      <c r="A466" s="14"/>
      <c r="B466" s="15" t="s">
        <v>2615</v>
      </c>
      <c r="C466" s="15" t="s">
        <v>2616</v>
      </c>
      <c r="D466" s="16"/>
      <c r="E466" s="16" t="s">
        <v>3353</v>
      </c>
      <c r="F466" s="16" t="s">
        <v>3353</v>
      </c>
      <c r="G466" s="16" t="str">
        <f>_xlfn.XLOOKUP( C466,RAW_DATA!B:B, RAW_DATA!Q:Q, "NOT FOUND" )</f>
        <v>2-s2.0-85139727775</v>
      </c>
      <c r="H466" s="1" t="b">
        <f t="shared" si="2"/>
        <v>0</v>
      </c>
      <c r="I466" s="1" t="b">
        <f t="shared" si="3"/>
        <v>0</v>
      </c>
    </row>
    <row r="467" spans="1:9" ht="15.75" customHeight="1">
      <c r="A467" s="14"/>
      <c r="B467" s="15" t="s">
        <v>2620</v>
      </c>
      <c r="C467" s="15" t="s">
        <v>2621</v>
      </c>
      <c r="D467" s="16"/>
      <c r="E467" s="16" t="s">
        <v>3353</v>
      </c>
      <c r="F467" s="16" t="s">
        <v>3353</v>
      </c>
      <c r="G467" s="16" t="str">
        <f>_xlfn.XLOOKUP( C467,RAW_DATA!B:B, RAW_DATA!Q:Q, "NOT FOUND" )</f>
        <v>2-s2.0-85194058859</v>
      </c>
      <c r="H467" s="1" t="b">
        <f t="shared" si="2"/>
        <v>0</v>
      </c>
      <c r="I467" s="1" t="b">
        <f t="shared" si="3"/>
        <v>0</v>
      </c>
    </row>
    <row r="468" spans="1:9" ht="15.75" customHeight="1">
      <c r="A468" s="14"/>
      <c r="B468" s="15" t="s">
        <v>2626</v>
      </c>
      <c r="C468" s="15" t="s">
        <v>2627</v>
      </c>
      <c r="D468" s="16"/>
      <c r="E468" s="16" t="s">
        <v>3353</v>
      </c>
      <c r="F468" s="16" t="s">
        <v>3353</v>
      </c>
      <c r="G468" s="16" t="str">
        <f>_xlfn.XLOOKUP( C468,RAW_DATA!B:B, RAW_DATA!Q:Q, "NOT FOUND" )</f>
        <v>2-s2.0-85079421610</v>
      </c>
      <c r="H468" s="1" t="b">
        <f t="shared" si="2"/>
        <v>0</v>
      </c>
      <c r="I468" s="1" t="b">
        <f t="shared" si="3"/>
        <v>0</v>
      </c>
    </row>
    <row r="469" spans="1:9" ht="15.75" customHeight="1">
      <c r="A469" s="14"/>
      <c r="B469" s="15" t="s">
        <v>2631</v>
      </c>
      <c r="C469" s="15" t="s">
        <v>2632</v>
      </c>
      <c r="D469" s="16"/>
      <c r="E469" s="16" t="s">
        <v>3353</v>
      </c>
      <c r="F469" s="16" t="s">
        <v>3353</v>
      </c>
      <c r="G469" s="16" t="str">
        <f>_xlfn.XLOOKUP( C469,RAW_DATA!B:B, RAW_DATA!Q:Q, "NOT FOUND" )</f>
        <v>2-s2.0-85064052716</v>
      </c>
      <c r="H469" s="1" t="b">
        <f t="shared" si="2"/>
        <v>0</v>
      </c>
      <c r="I469" s="1" t="b">
        <f t="shared" si="3"/>
        <v>0</v>
      </c>
    </row>
    <row r="470" spans="1:9" ht="15.75" customHeight="1">
      <c r="A470" s="14"/>
      <c r="B470" s="15" t="s">
        <v>2637</v>
      </c>
      <c r="C470" s="15" t="s">
        <v>2638</v>
      </c>
      <c r="D470" s="16"/>
      <c r="E470" s="16" t="s">
        <v>3353</v>
      </c>
      <c r="F470" s="16" t="s">
        <v>3353</v>
      </c>
      <c r="G470" s="16" t="str">
        <f>_xlfn.XLOOKUP( C470,RAW_DATA!B:B, RAW_DATA!Q:Q, "NOT FOUND" )</f>
        <v>2-s2.0-85101146114</v>
      </c>
      <c r="H470" s="1" t="b">
        <f t="shared" si="2"/>
        <v>0</v>
      </c>
      <c r="I470" s="1" t="b">
        <f t="shared" si="3"/>
        <v>0</v>
      </c>
    </row>
    <row r="471" spans="1:9" ht="15.75" customHeight="1">
      <c r="A471" s="14"/>
      <c r="B471" s="15" t="s">
        <v>2642</v>
      </c>
      <c r="C471" s="15" t="s">
        <v>2643</v>
      </c>
      <c r="D471" s="16"/>
      <c r="E471" s="16" t="s">
        <v>3352</v>
      </c>
      <c r="F471" s="16" t="s">
        <v>3353</v>
      </c>
      <c r="G471" s="16" t="str">
        <f>_xlfn.XLOOKUP( C471,RAW_DATA!B:B, RAW_DATA!Q:Q, "NOT FOUND" )</f>
        <v>2-s2.0-85053079575</v>
      </c>
      <c r="H471" s="1" t="b">
        <f t="shared" si="2"/>
        <v>0</v>
      </c>
      <c r="I471" s="1" t="b">
        <f t="shared" si="3"/>
        <v>0</v>
      </c>
    </row>
    <row r="472" spans="1:9" ht="15.75" customHeight="1">
      <c r="A472" s="14"/>
      <c r="B472" s="15" t="s">
        <v>2647</v>
      </c>
      <c r="C472" s="15" t="s">
        <v>2648</v>
      </c>
      <c r="D472" s="16"/>
      <c r="E472" s="16" t="s">
        <v>3352</v>
      </c>
      <c r="F472" s="16" t="s">
        <v>3353</v>
      </c>
      <c r="G472" s="16" t="str">
        <f>_xlfn.XLOOKUP( C472,RAW_DATA!B:B, RAW_DATA!Q:Q, "NOT FOUND" )</f>
        <v>2-s2.0-85132981287</v>
      </c>
      <c r="H472" s="1" t="b">
        <f t="shared" si="2"/>
        <v>0</v>
      </c>
      <c r="I472" s="1" t="b">
        <f t="shared" si="3"/>
        <v>0</v>
      </c>
    </row>
    <row r="473" spans="1:9" ht="15.75" customHeight="1">
      <c r="A473" s="14"/>
      <c r="B473" s="15" t="s">
        <v>2652</v>
      </c>
      <c r="C473" s="15" t="s">
        <v>2653</v>
      </c>
      <c r="D473" s="16"/>
      <c r="E473" s="16" t="s">
        <v>3353</v>
      </c>
      <c r="F473" s="16" t="s">
        <v>3353</v>
      </c>
      <c r="G473" s="16" t="str">
        <f>_xlfn.XLOOKUP( C473,RAW_DATA!B:B, RAW_DATA!Q:Q, "NOT FOUND" )</f>
        <v>2-s2.0-85188000212</v>
      </c>
      <c r="H473" s="1" t="b">
        <f t="shared" si="2"/>
        <v>0</v>
      </c>
      <c r="I473" s="1" t="b">
        <f t="shared" si="3"/>
        <v>0</v>
      </c>
    </row>
    <row r="474" spans="1:9" ht="15.75" customHeight="1">
      <c r="A474" s="14"/>
      <c r="B474" s="15" t="s">
        <v>2657</v>
      </c>
      <c r="C474" s="15" t="s">
        <v>2658</v>
      </c>
      <c r="D474" s="16"/>
      <c r="E474" s="16" t="s">
        <v>3353</v>
      </c>
      <c r="F474" s="16" t="s">
        <v>3353</v>
      </c>
      <c r="G474" s="16" t="str">
        <f>_xlfn.XLOOKUP( C474,RAW_DATA!B:B, RAW_DATA!Q:Q, "NOT FOUND" )</f>
        <v>2-s2.0-85114846293</v>
      </c>
      <c r="H474" s="1" t="b">
        <f t="shared" si="2"/>
        <v>0</v>
      </c>
      <c r="I474" s="1" t="b">
        <f t="shared" si="3"/>
        <v>0</v>
      </c>
    </row>
    <row r="475" spans="1:9" ht="15.75" customHeight="1">
      <c r="A475" s="14"/>
      <c r="B475" s="15" t="s">
        <v>2662</v>
      </c>
      <c r="C475" s="15" t="s">
        <v>2663</v>
      </c>
      <c r="D475" s="16"/>
      <c r="E475" s="16" t="s">
        <v>3352</v>
      </c>
      <c r="F475" s="16" t="s">
        <v>3353</v>
      </c>
      <c r="G475" s="16" t="str">
        <f>_xlfn.XLOOKUP( C475,RAW_DATA!B:B, RAW_DATA!Q:Q, "NOT FOUND" )</f>
        <v>2-s2.0-85130273827</v>
      </c>
      <c r="H475" s="1" t="b">
        <f t="shared" si="2"/>
        <v>0</v>
      </c>
      <c r="I475" s="1" t="b">
        <f t="shared" si="3"/>
        <v>0</v>
      </c>
    </row>
    <row r="476" spans="1:9" ht="15.75" customHeight="1">
      <c r="A476" s="14"/>
      <c r="B476" s="15" t="s">
        <v>2667</v>
      </c>
      <c r="C476" s="15" t="s">
        <v>2668</v>
      </c>
      <c r="D476" s="16"/>
      <c r="E476" s="16" t="s">
        <v>3353</v>
      </c>
      <c r="F476" s="16" t="s">
        <v>3353</v>
      </c>
      <c r="G476" s="16" t="str">
        <f>_xlfn.XLOOKUP( C476,RAW_DATA!B:B, RAW_DATA!Q:Q, "NOT FOUND" )</f>
        <v>2-s2.0-85042453710</v>
      </c>
      <c r="H476" s="1" t="b">
        <f t="shared" si="2"/>
        <v>0</v>
      </c>
      <c r="I476" s="1" t="b">
        <f t="shared" si="3"/>
        <v>0</v>
      </c>
    </row>
    <row r="477" spans="1:9" ht="15.75" customHeight="1">
      <c r="A477" s="14"/>
      <c r="B477" s="15" t="s">
        <v>2672</v>
      </c>
      <c r="C477" s="15" t="s">
        <v>2673</v>
      </c>
      <c r="D477" s="16"/>
      <c r="E477" s="16" t="s">
        <v>3353</v>
      </c>
      <c r="F477" s="16" t="s">
        <v>3353</v>
      </c>
      <c r="G477" s="16" t="str">
        <f>_xlfn.XLOOKUP( C477,RAW_DATA!B:B, RAW_DATA!Q:Q, "NOT FOUND" )</f>
        <v>2-s2.0-85130523627</v>
      </c>
      <c r="H477" s="1" t="b">
        <f t="shared" si="2"/>
        <v>0</v>
      </c>
      <c r="I477" s="1" t="b">
        <f t="shared" si="3"/>
        <v>0</v>
      </c>
    </row>
    <row r="478" spans="1:9" ht="15.75" customHeight="1">
      <c r="A478" s="14"/>
      <c r="B478" s="15" t="s">
        <v>2677</v>
      </c>
      <c r="C478" s="15" t="s">
        <v>2678</v>
      </c>
      <c r="D478" s="16"/>
      <c r="E478" s="16" t="s">
        <v>3352</v>
      </c>
      <c r="F478" s="16" t="s">
        <v>3353</v>
      </c>
      <c r="G478" s="16" t="str">
        <f>_xlfn.XLOOKUP( C478,RAW_DATA!B:B, RAW_DATA!Q:Q, "NOT FOUND" )</f>
        <v>2-s2.0-85192015316</v>
      </c>
      <c r="H478" s="1" t="b">
        <f t="shared" si="2"/>
        <v>0</v>
      </c>
      <c r="I478" s="1" t="b">
        <f t="shared" si="3"/>
        <v>0</v>
      </c>
    </row>
    <row r="479" spans="1:9" ht="15.75" customHeight="1">
      <c r="A479" s="14"/>
      <c r="B479" s="15" t="s">
        <v>2682</v>
      </c>
      <c r="C479" s="15" t="s">
        <v>2683</v>
      </c>
      <c r="D479" s="16"/>
      <c r="E479" s="16" t="s">
        <v>3352</v>
      </c>
      <c r="F479" s="16" t="s">
        <v>3353</v>
      </c>
      <c r="G479" s="16" t="str">
        <f>_xlfn.XLOOKUP( C479,RAW_DATA!B:B, RAW_DATA!Q:Q, "NOT FOUND" )</f>
        <v>2-s2.0-85057765063</v>
      </c>
      <c r="H479" s="1" t="b">
        <f t="shared" si="2"/>
        <v>0</v>
      </c>
      <c r="I479" s="1" t="b">
        <f t="shared" si="3"/>
        <v>0</v>
      </c>
    </row>
    <row r="480" spans="1:9" ht="15.75" customHeight="1">
      <c r="A480" s="14"/>
      <c r="B480" s="15" t="s">
        <v>2689</v>
      </c>
      <c r="C480" s="15" t="s">
        <v>2690</v>
      </c>
      <c r="D480" s="16"/>
      <c r="E480" s="16" t="s">
        <v>3353</v>
      </c>
      <c r="F480" s="16" t="s">
        <v>3353</v>
      </c>
      <c r="G480" s="16" t="str">
        <f>_xlfn.XLOOKUP( C480,RAW_DATA!B:B, RAW_DATA!Q:Q, "NOT FOUND" )</f>
        <v>2-s2.0-85127750149</v>
      </c>
      <c r="H480" s="1" t="b">
        <f t="shared" si="2"/>
        <v>0</v>
      </c>
      <c r="I480" s="1" t="b">
        <f t="shared" si="3"/>
        <v>0</v>
      </c>
    </row>
    <row r="481" spans="1:9" ht="15.75" customHeight="1">
      <c r="A481" s="14"/>
      <c r="B481" s="15" t="s">
        <v>2694</v>
      </c>
      <c r="C481" s="15" t="s">
        <v>2695</v>
      </c>
      <c r="D481" s="16"/>
      <c r="E481" s="16" t="s">
        <v>3353</v>
      </c>
      <c r="F481" s="16" t="s">
        <v>3353</v>
      </c>
      <c r="G481" s="16" t="str">
        <f>_xlfn.XLOOKUP( C481,RAW_DATA!B:B, RAW_DATA!Q:Q, "NOT FOUND" )</f>
        <v>2-s2.0-85084851508</v>
      </c>
      <c r="H481" s="1" t="b">
        <f t="shared" si="2"/>
        <v>0</v>
      </c>
      <c r="I481" s="1" t="b">
        <f t="shared" si="3"/>
        <v>0</v>
      </c>
    </row>
    <row r="482" spans="1:9" ht="15.75" customHeight="1">
      <c r="A482" s="14"/>
      <c r="B482" s="15" t="s">
        <v>2699</v>
      </c>
      <c r="C482" s="15" t="s">
        <v>2700</v>
      </c>
      <c r="D482" s="16"/>
      <c r="E482" s="16" t="s">
        <v>3352</v>
      </c>
      <c r="F482" s="16" t="s">
        <v>3353</v>
      </c>
      <c r="G482" s="16" t="str">
        <f>_xlfn.XLOOKUP( C482,RAW_DATA!B:B, RAW_DATA!Q:Q, "NOT FOUND" )</f>
        <v>2-s2.0-85139859152</v>
      </c>
      <c r="H482" s="1" t="b">
        <f t="shared" si="2"/>
        <v>0</v>
      </c>
      <c r="I482" s="1" t="b">
        <f t="shared" si="3"/>
        <v>0</v>
      </c>
    </row>
    <row r="483" spans="1:9" ht="15.75" customHeight="1">
      <c r="A483" s="14"/>
      <c r="B483" s="15" t="s">
        <v>2704</v>
      </c>
      <c r="C483" s="15" t="s">
        <v>2705</v>
      </c>
      <c r="D483" s="16"/>
      <c r="E483" s="16" t="s">
        <v>3352</v>
      </c>
      <c r="F483" s="16" t="s">
        <v>3353</v>
      </c>
      <c r="G483" s="16" t="str">
        <f>_xlfn.XLOOKUP( C483,RAW_DATA!B:B, RAW_DATA!Q:Q, "NOT FOUND" )</f>
        <v>2-s2.0-85114842486</v>
      </c>
      <c r="H483" s="1" t="b">
        <f t="shared" si="2"/>
        <v>0</v>
      </c>
      <c r="I483" s="1" t="b">
        <f t="shared" si="3"/>
        <v>0</v>
      </c>
    </row>
    <row r="484" spans="1:9" ht="15.75" customHeight="1">
      <c r="A484" s="14"/>
      <c r="B484" s="15" t="s">
        <v>2710</v>
      </c>
      <c r="C484" s="15" t="s">
        <v>2711</v>
      </c>
      <c r="D484" s="16"/>
      <c r="E484" s="16" t="s">
        <v>3352</v>
      </c>
      <c r="F484" s="16" t="s">
        <v>3353</v>
      </c>
      <c r="G484" s="16" t="str">
        <f>_xlfn.XLOOKUP( C484,RAW_DATA!B:B, RAW_DATA!Q:Q, "NOT FOUND" )</f>
        <v>2-s2.0-85166335301</v>
      </c>
      <c r="H484" s="1" t="b">
        <f t="shared" si="2"/>
        <v>0</v>
      </c>
      <c r="I484" s="1" t="b">
        <f t="shared" si="3"/>
        <v>0</v>
      </c>
    </row>
    <row r="485" spans="1:9" ht="15.75" customHeight="1">
      <c r="A485" s="14"/>
      <c r="B485" s="15" t="s">
        <v>2715</v>
      </c>
      <c r="C485" s="15" t="s">
        <v>2716</v>
      </c>
      <c r="D485" s="16"/>
      <c r="E485" s="16" t="s">
        <v>3352</v>
      </c>
      <c r="F485" s="16" t="s">
        <v>3353</v>
      </c>
      <c r="G485" s="16" t="str">
        <f>_xlfn.XLOOKUP( C485,RAW_DATA!B:B, RAW_DATA!Q:Q, "NOT FOUND" )</f>
        <v>2-s2.0-85140287945</v>
      </c>
      <c r="H485" s="1" t="b">
        <f t="shared" si="2"/>
        <v>0</v>
      </c>
      <c r="I485" s="1" t="b">
        <f t="shared" si="3"/>
        <v>0</v>
      </c>
    </row>
    <row r="486" spans="1:9" ht="15.75" customHeight="1">
      <c r="A486" s="14"/>
      <c r="B486" s="15" t="s">
        <v>2720</v>
      </c>
      <c r="C486" s="15" t="s">
        <v>2721</v>
      </c>
      <c r="D486" s="16"/>
      <c r="E486" s="16" t="s">
        <v>3352</v>
      </c>
      <c r="F486" s="16" t="s">
        <v>3353</v>
      </c>
      <c r="G486" s="16" t="str">
        <f>_xlfn.XLOOKUP( C486,RAW_DATA!B:B, RAW_DATA!Q:Q, "NOT FOUND" )</f>
        <v>2-s2.0-85097442312</v>
      </c>
      <c r="H486" s="1" t="b">
        <f t="shared" si="2"/>
        <v>0</v>
      </c>
      <c r="I486" s="1" t="b">
        <f t="shared" si="3"/>
        <v>0</v>
      </c>
    </row>
    <row r="487" spans="1:9" ht="15.75" customHeight="1">
      <c r="A487" s="14"/>
      <c r="B487" s="15" t="s">
        <v>2727</v>
      </c>
      <c r="C487" s="15" t="s">
        <v>2728</v>
      </c>
      <c r="D487" s="16"/>
      <c r="E487" s="16" t="s">
        <v>3352</v>
      </c>
      <c r="F487" s="16" t="s">
        <v>3353</v>
      </c>
      <c r="G487" s="16" t="str">
        <f>_xlfn.XLOOKUP( C487,RAW_DATA!B:B, RAW_DATA!Q:Q, "NOT FOUND" )</f>
        <v>2-s2.0-85053593147</v>
      </c>
      <c r="H487" s="1" t="b">
        <f t="shared" si="2"/>
        <v>0</v>
      </c>
      <c r="I487" s="1" t="b">
        <f t="shared" si="3"/>
        <v>0</v>
      </c>
    </row>
    <row r="488" spans="1:9" ht="15.75" customHeight="1">
      <c r="A488" s="14"/>
      <c r="B488" s="15" t="s">
        <v>2732</v>
      </c>
      <c r="C488" s="15" t="s">
        <v>2733</v>
      </c>
      <c r="D488" s="16"/>
      <c r="E488" s="16" t="s">
        <v>3353</v>
      </c>
      <c r="F488" s="16" t="s">
        <v>3353</v>
      </c>
      <c r="G488" s="16" t="str">
        <f>_xlfn.XLOOKUP( C488,RAW_DATA!B:B, RAW_DATA!Q:Q, "NOT FOUND" )</f>
        <v>2-s2.0-85042777798</v>
      </c>
      <c r="H488" s="1" t="b">
        <f t="shared" si="2"/>
        <v>0</v>
      </c>
      <c r="I488" s="1" t="b">
        <f t="shared" si="3"/>
        <v>0</v>
      </c>
    </row>
    <row r="489" spans="1:9" ht="15.75" customHeight="1">
      <c r="A489" s="14" t="s">
        <v>3401</v>
      </c>
      <c r="B489" s="15" t="s">
        <v>2737</v>
      </c>
      <c r="C489" s="15" t="s">
        <v>2738</v>
      </c>
      <c r="D489" s="16" t="s">
        <v>3359</v>
      </c>
      <c r="E489" s="16" t="s">
        <v>3352</v>
      </c>
      <c r="F489" s="16" t="s">
        <v>3352</v>
      </c>
      <c r="G489" s="16" t="str">
        <f>_xlfn.XLOOKUP( C489,RAW_DATA!B:B, RAW_DATA!Q:Q, "NOT FOUND" )</f>
        <v>2-s2.0-85131373656</v>
      </c>
      <c r="H489" s="1" t="b">
        <f t="shared" si="2"/>
        <v>0</v>
      </c>
      <c r="I489" s="1" t="b">
        <f t="shared" si="3"/>
        <v>0</v>
      </c>
    </row>
    <row r="490" spans="1:9" ht="15.75" customHeight="1">
      <c r="A490" s="14"/>
      <c r="B490" s="15" t="s">
        <v>2742</v>
      </c>
      <c r="C490" s="15" t="s">
        <v>2743</v>
      </c>
      <c r="D490" s="16"/>
      <c r="E490" s="16" t="s">
        <v>3353</v>
      </c>
      <c r="F490" s="16" t="s">
        <v>3353</v>
      </c>
      <c r="G490" s="16" t="str">
        <f>_xlfn.XLOOKUP( C490,RAW_DATA!B:B, RAW_DATA!Q:Q, "NOT FOUND" )</f>
        <v>2-s2.0-85184052630</v>
      </c>
      <c r="H490" s="1" t="b">
        <f t="shared" si="2"/>
        <v>0</v>
      </c>
      <c r="I490" s="1" t="b">
        <f t="shared" si="3"/>
        <v>0</v>
      </c>
    </row>
    <row r="491" spans="1:9" ht="15.75" customHeight="1">
      <c r="A491" s="14"/>
      <c r="B491" s="15" t="s">
        <v>2747</v>
      </c>
      <c r="C491" s="15" t="s">
        <v>2748</v>
      </c>
      <c r="D491" s="16"/>
      <c r="E491" s="16" t="s">
        <v>3353</v>
      </c>
      <c r="F491" s="16" t="s">
        <v>3353</v>
      </c>
      <c r="G491" s="16" t="str">
        <f>_xlfn.XLOOKUP( C491,RAW_DATA!B:B, RAW_DATA!Q:Q, "NOT FOUND" )</f>
        <v>2-s2.0-85082448377</v>
      </c>
      <c r="H491" s="1" t="b">
        <f t="shared" si="2"/>
        <v>0</v>
      </c>
      <c r="I491" s="1" t="b">
        <f t="shared" si="3"/>
        <v>0</v>
      </c>
    </row>
    <row r="492" spans="1:9" ht="15.75" customHeight="1">
      <c r="A492" s="14"/>
      <c r="B492" s="15" t="s">
        <v>2752</v>
      </c>
      <c r="C492" s="15" t="s">
        <v>2753</v>
      </c>
      <c r="D492" s="16"/>
      <c r="E492" s="16" t="s">
        <v>3353</v>
      </c>
      <c r="F492" s="16" t="s">
        <v>3353</v>
      </c>
      <c r="G492" s="16" t="str">
        <f>_xlfn.XLOOKUP( C492,RAW_DATA!B:B, RAW_DATA!Q:Q, "NOT FOUND" )</f>
        <v>2-s2.0-85150297003</v>
      </c>
      <c r="H492" s="1" t="b">
        <f t="shared" si="2"/>
        <v>0</v>
      </c>
      <c r="I492" s="1" t="b">
        <f t="shared" si="3"/>
        <v>0</v>
      </c>
    </row>
    <row r="493" spans="1:9" ht="15.75" customHeight="1">
      <c r="A493" s="14"/>
      <c r="B493" s="15" t="s">
        <v>2758</v>
      </c>
      <c r="C493" s="15" t="s">
        <v>2759</v>
      </c>
      <c r="D493" s="16"/>
      <c r="E493" s="16" t="s">
        <v>3353</v>
      </c>
      <c r="F493" s="16" t="s">
        <v>3353</v>
      </c>
      <c r="G493" s="16" t="str">
        <f>_xlfn.XLOOKUP( C493,RAW_DATA!B:B, RAW_DATA!Q:Q, "NOT FOUND" )</f>
        <v>2-s2.0-85145208101</v>
      </c>
      <c r="H493" s="1" t="b">
        <f t="shared" si="2"/>
        <v>0</v>
      </c>
      <c r="I493" s="1" t="b">
        <f t="shared" si="3"/>
        <v>0</v>
      </c>
    </row>
    <row r="494" spans="1:9" ht="15.75" customHeight="1">
      <c r="A494" s="14"/>
      <c r="B494" s="15" t="s">
        <v>2763</v>
      </c>
      <c r="C494" s="15" t="s">
        <v>2764</v>
      </c>
      <c r="D494" s="16"/>
      <c r="E494" s="16" t="s">
        <v>3353</v>
      </c>
      <c r="F494" s="16" t="s">
        <v>3353</v>
      </c>
      <c r="G494" s="16" t="str">
        <f>_xlfn.XLOOKUP( C494,RAW_DATA!B:B, RAW_DATA!Q:Q, "NOT FOUND" )</f>
        <v>2-s2.0-85118654272</v>
      </c>
      <c r="H494" s="1" t="b">
        <f t="shared" si="2"/>
        <v>0</v>
      </c>
      <c r="I494" s="1" t="b">
        <f t="shared" si="3"/>
        <v>0</v>
      </c>
    </row>
    <row r="495" spans="1:9" ht="15.75" customHeight="1">
      <c r="A495" s="14"/>
      <c r="B495" s="15" t="s">
        <v>2768</v>
      </c>
      <c r="C495" s="15" t="s">
        <v>2769</v>
      </c>
      <c r="D495" s="16"/>
      <c r="E495" s="16" t="s">
        <v>3353</v>
      </c>
      <c r="F495" s="16" t="s">
        <v>3353</v>
      </c>
      <c r="G495" s="16" t="str">
        <f>_xlfn.XLOOKUP( C495,RAW_DATA!B:B, RAW_DATA!Q:Q, "NOT FOUND" )</f>
        <v>2-s2.0-85123262234</v>
      </c>
      <c r="H495" s="1" t="b">
        <f t="shared" si="2"/>
        <v>0</v>
      </c>
      <c r="I495" s="1" t="b">
        <f t="shared" si="3"/>
        <v>0</v>
      </c>
    </row>
    <row r="496" spans="1:9" ht="15.75" customHeight="1">
      <c r="A496" s="14"/>
      <c r="B496" s="15" t="s">
        <v>2774</v>
      </c>
      <c r="C496" s="15" t="s">
        <v>2775</v>
      </c>
      <c r="D496" s="16"/>
      <c r="E496" s="16" t="s">
        <v>3353</v>
      </c>
      <c r="F496" s="16" t="s">
        <v>3353</v>
      </c>
      <c r="G496" s="16" t="str">
        <f>_xlfn.XLOOKUP( C496,RAW_DATA!B:B, RAW_DATA!Q:Q, "NOT FOUND" )</f>
        <v>2-s2.0-85187182041</v>
      </c>
      <c r="H496" s="1" t="b">
        <f t="shared" si="2"/>
        <v>0</v>
      </c>
      <c r="I496" s="1" t="b">
        <f t="shared" si="3"/>
        <v>0</v>
      </c>
    </row>
    <row r="497" spans="1:9" ht="15.75" customHeight="1">
      <c r="A497" s="14" t="s">
        <v>3402</v>
      </c>
      <c r="B497" s="15" t="s">
        <v>2781</v>
      </c>
      <c r="C497" s="15" t="s">
        <v>2782</v>
      </c>
      <c r="D497" s="16" t="s">
        <v>3359</v>
      </c>
      <c r="E497" s="16" t="s">
        <v>3352</v>
      </c>
      <c r="F497" s="16" t="s">
        <v>3352</v>
      </c>
      <c r="G497" s="16" t="str">
        <f>_xlfn.XLOOKUP( C497,RAW_DATA!B:B, RAW_DATA!Q:Q, "NOT FOUND" )</f>
        <v>2-s2.0-85061067786</v>
      </c>
      <c r="H497" s="1" t="b">
        <f t="shared" si="2"/>
        <v>0</v>
      </c>
      <c r="I497" s="1" t="b">
        <f t="shared" si="3"/>
        <v>0</v>
      </c>
    </row>
    <row r="498" spans="1:9" ht="15.75" customHeight="1">
      <c r="A498" s="14"/>
      <c r="B498" s="15" t="s">
        <v>2787</v>
      </c>
      <c r="C498" s="15" t="s">
        <v>2788</v>
      </c>
      <c r="D498" s="16"/>
      <c r="E498" s="16" t="s">
        <v>3353</v>
      </c>
      <c r="F498" s="16" t="s">
        <v>3353</v>
      </c>
      <c r="G498" s="16" t="str">
        <f>_xlfn.XLOOKUP( C498,RAW_DATA!B:B, RAW_DATA!Q:Q, "NOT FOUND" )</f>
        <v>2-s2.0-85193944061</v>
      </c>
      <c r="H498" s="1" t="b">
        <f t="shared" si="2"/>
        <v>0</v>
      </c>
      <c r="I498" s="1" t="b">
        <f t="shared" si="3"/>
        <v>0</v>
      </c>
    </row>
    <row r="499" spans="1:9" ht="15.75" customHeight="1">
      <c r="A499" s="14"/>
      <c r="B499" s="15" t="s">
        <v>2792</v>
      </c>
      <c r="C499" s="15" t="s">
        <v>2793</v>
      </c>
      <c r="D499" s="16"/>
      <c r="E499" s="16" t="s">
        <v>3353</v>
      </c>
      <c r="F499" s="16" t="s">
        <v>3353</v>
      </c>
      <c r="G499" s="16" t="str">
        <f>_xlfn.XLOOKUP( C499,RAW_DATA!B:B, RAW_DATA!Q:Q, "NOT FOUND" )</f>
        <v>2-s2.0-85188750819</v>
      </c>
      <c r="H499" s="1" t="b">
        <f t="shared" si="2"/>
        <v>0</v>
      </c>
      <c r="I499" s="1" t="b">
        <f t="shared" si="3"/>
        <v>0</v>
      </c>
    </row>
    <row r="500" spans="1:9" ht="15.75" customHeight="1">
      <c r="A500" s="14" t="s">
        <v>3403</v>
      </c>
      <c r="B500" s="15" t="s">
        <v>2797</v>
      </c>
      <c r="C500" s="15" t="s">
        <v>2798</v>
      </c>
      <c r="D500" s="16" t="s">
        <v>3359</v>
      </c>
      <c r="E500" s="16" t="s">
        <v>3352</v>
      </c>
      <c r="F500" s="16" t="s">
        <v>3352</v>
      </c>
      <c r="G500" s="16" t="str">
        <f>_xlfn.XLOOKUP( C500,RAW_DATA!B:B, RAW_DATA!Q:Q, "NOT FOUND" )</f>
        <v>2-s2.0-85099715522</v>
      </c>
      <c r="H500" s="1" t="b">
        <f t="shared" si="2"/>
        <v>0</v>
      </c>
      <c r="I500" s="1" t="b">
        <f t="shared" si="3"/>
        <v>0</v>
      </c>
    </row>
    <row r="501" spans="1:9" ht="15.75" customHeight="1">
      <c r="A501" s="14"/>
      <c r="B501" s="15" t="s">
        <v>2804</v>
      </c>
      <c r="C501" s="15" t="s">
        <v>2805</v>
      </c>
      <c r="D501" s="16"/>
      <c r="E501" s="16" t="s">
        <v>3352</v>
      </c>
      <c r="F501" s="16" t="s">
        <v>3353</v>
      </c>
      <c r="G501" s="16" t="str">
        <f>_xlfn.XLOOKUP( C501,RAW_DATA!B:B, RAW_DATA!Q:Q, "NOT FOUND" )</f>
        <v>2-s2.0-85123588956</v>
      </c>
      <c r="H501" s="1" t="b">
        <f t="shared" si="2"/>
        <v>0</v>
      </c>
      <c r="I501" s="1" t="b">
        <f t="shared" si="3"/>
        <v>0</v>
      </c>
    </row>
    <row r="502" spans="1:9" ht="15.75" customHeight="1">
      <c r="A502" s="14"/>
      <c r="B502" s="15" t="s">
        <v>2810</v>
      </c>
      <c r="C502" s="15" t="s">
        <v>2811</v>
      </c>
      <c r="D502" s="16"/>
      <c r="E502" s="16" t="s">
        <v>3353</v>
      </c>
      <c r="F502" s="16" t="s">
        <v>3353</v>
      </c>
      <c r="G502" s="16" t="str">
        <f>_xlfn.XLOOKUP( C502,RAW_DATA!B:B, RAW_DATA!Q:Q, "NOT FOUND" )</f>
        <v>2-s2.0-85119702541</v>
      </c>
      <c r="H502" s="1" t="b">
        <f t="shared" si="2"/>
        <v>0</v>
      </c>
      <c r="I502" s="1" t="b">
        <f t="shared" si="3"/>
        <v>0</v>
      </c>
    </row>
    <row r="503" spans="1:9" ht="15.75" customHeight="1">
      <c r="A503" s="14"/>
      <c r="B503" s="15" t="s">
        <v>2815</v>
      </c>
      <c r="C503" s="15" t="s">
        <v>2816</v>
      </c>
      <c r="D503" s="16"/>
      <c r="E503" s="16" t="s">
        <v>3353</v>
      </c>
      <c r="F503" s="16" t="s">
        <v>3353</v>
      </c>
      <c r="G503" s="16" t="str">
        <f>_xlfn.XLOOKUP( C503,RAW_DATA!B:B, RAW_DATA!Q:Q, "NOT FOUND" )</f>
        <v>2-s2.0-85048550816</v>
      </c>
      <c r="H503" s="1" t="b">
        <f t="shared" si="2"/>
        <v>0</v>
      </c>
      <c r="I503" s="1" t="b">
        <f t="shared" si="3"/>
        <v>0</v>
      </c>
    </row>
    <row r="504" spans="1:9" ht="15.75" customHeight="1">
      <c r="A504" s="14"/>
      <c r="B504" s="15" t="s">
        <v>2820</v>
      </c>
      <c r="C504" s="15" t="s">
        <v>2821</v>
      </c>
      <c r="D504" s="16"/>
      <c r="E504" s="16" t="s">
        <v>3352</v>
      </c>
      <c r="F504" s="16" t="s">
        <v>3353</v>
      </c>
      <c r="G504" s="16" t="str">
        <f>_xlfn.XLOOKUP( C504,RAW_DATA!B:B, RAW_DATA!Q:Q, "NOT FOUND" )</f>
        <v>2-s2.0-85123953711</v>
      </c>
      <c r="H504" s="1" t="b">
        <f t="shared" si="2"/>
        <v>0</v>
      </c>
      <c r="I504" s="1" t="b">
        <f t="shared" si="3"/>
        <v>0</v>
      </c>
    </row>
    <row r="505" spans="1:9" ht="15.75" customHeight="1">
      <c r="A505" s="14"/>
      <c r="B505" s="15" t="s">
        <v>2825</v>
      </c>
      <c r="C505" s="15" t="s">
        <v>2826</v>
      </c>
      <c r="D505" s="16"/>
      <c r="E505" s="16" t="s">
        <v>3353</v>
      </c>
      <c r="F505" s="16" t="s">
        <v>3353</v>
      </c>
      <c r="G505" s="16" t="str">
        <f>_xlfn.XLOOKUP( C505,RAW_DATA!B:B, RAW_DATA!Q:Q, "NOT FOUND" )</f>
        <v>2-s2.0-85123696145</v>
      </c>
      <c r="H505" s="1" t="b">
        <f t="shared" si="2"/>
        <v>0</v>
      </c>
      <c r="I505" s="1" t="b">
        <f t="shared" si="3"/>
        <v>0</v>
      </c>
    </row>
    <row r="506" spans="1:9" ht="15.75" customHeight="1">
      <c r="A506" s="14"/>
      <c r="B506" s="15" t="s">
        <v>2830</v>
      </c>
      <c r="C506" s="15" t="s">
        <v>2831</v>
      </c>
      <c r="D506" s="16"/>
      <c r="E506" s="16" t="s">
        <v>3353</v>
      </c>
      <c r="F506" s="16" t="s">
        <v>3353</v>
      </c>
      <c r="G506" s="16" t="str">
        <f>_xlfn.XLOOKUP( C506,RAW_DATA!B:B, RAW_DATA!Q:Q, "NOT FOUND" )</f>
        <v>2-s2.0-85099267127</v>
      </c>
      <c r="H506" s="1" t="b">
        <f t="shared" si="2"/>
        <v>0</v>
      </c>
      <c r="I506" s="1" t="b">
        <f t="shared" si="3"/>
        <v>0</v>
      </c>
    </row>
    <row r="507" spans="1:9" ht="15.75" customHeight="1">
      <c r="A507" s="14"/>
      <c r="B507" s="15" t="s">
        <v>2836</v>
      </c>
      <c r="C507" s="15" t="s">
        <v>2837</v>
      </c>
      <c r="D507" s="16"/>
      <c r="E507" s="16" t="s">
        <v>3353</v>
      </c>
      <c r="F507" s="16" t="s">
        <v>3353</v>
      </c>
      <c r="G507" s="16" t="str">
        <f>_xlfn.XLOOKUP( C507,RAW_DATA!B:B, RAW_DATA!Q:Q, "NOT FOUND" )</f>
        <v>2-s2.0-85160866289</v>
      </c>
      <c r="H507" s="1" t="b">
        <f t="shared" si="2"/>
        <v>0</v>
      </c>
      <c r="I507" s="1" t="b">
        <f t="shared" si="3"/>
        <v>0</v>
      </c>
    </row>
    <row r="508" spans="1:9" ht="15.75" customHeight="1">
      <c r="A508" s="14"/>
      <c r="B508" s="15" t="s">
        <v>2841</v>
      </c>
      <c r="C508" s="15" t="s">
        <v>2842</v>
      </c>
      <c r="D508" s="16"/>
      <c r="E508" s="16" t="s">
        <v>3353</v>
      </c>
      <c r="F508" s="16" t="s">
        <v>3353</v>
      </c>
      <c r="G508" s="16" t="str">
        <f>_xlfn.XLOOKUP( C508,RAW_DATA!B:B, RAW_DATA!Q:Q, "NOT FOUND" )</f>
        <v>2-s2.0-85113169762</v>
      </c>
      <c r="H508" s="1" t="b">
        <f t="shared" si="2"/>
        <v>0</v>
      </c>
      <c r="I508" s="1" t="b">
        <f t="shared" si="3"/>
        <v>0</v>
      </c>
    </row>
    <row r="509" spans="1:9" ht="15.75" customHeight="1">
      <c r="A509" s="14"/>
      <c r="B509" s="15" t="s">
        <v>2847</v>
      </c>
      <c r="C509" s="15" t="s">
        <v>2848</v>
      </c>
      <c r="D509" s="16"/>
      <c r="E509" s="16" t="s">
        <v>3352</v>
      </c>
      <c r="F509" s="16" t="s">
        <v>3353</v>
      </c>
      <c r="G509" s="16" t="str">
        <f>_xlfn.XLOOKUP( C509,RAW_DATA!B:B, RAW_DATA!Q:Q, "NOT FOUND" )</f>
        <v>2-s2.0-105006908067</v>
      </c>
      <c r="H509" s="1" t="b">
        <f t="shared" si="2"/>
        <v>0</v>
      </c>
      <c r="I509" s="1" t="b">
        <f t="shared" si="3"/>
        <v>0</v>
      </c>
    </row>
    <row r="510" spans="1:9" ht="15.75" customHeight="1">
      <c r="A510" s="14"/>
      <c r="B510" s="15" t="s">
        <v>2854</v>
      </c>
      <c r="C510" s="15" t="s">
        <v>2855</v>
      </c>
      <c r="D510" s="16"/>
      <c r="E510" s="16" t="s">
        <v>3353</v>
      </c>
      <c r="F510" s="16" t="s">
        <v>3353</v>
      </c>
      <c r="G510" s="16" t="str">
        <f>_xlfn.XLOOKUP( C510,RAW_DATA!B:B, RAW_DATA!Q:Q, "NOT FOUND" )</f>
        <v>2-s2.0-85086072007</v>
      </c>
      <c r="H510" s="1" t="b">
        <f t="shared" si="2"/>
        <v>0</v>
      </c>
      <c r="I510" s="1" t="b">
        <f t="shared" si="3"/>
        <v>0</v>
      </c>
    </row>
    <row r="511" spans="1:9" ht="15.75" customHeight="1">
      <c r="A511" s="14"/>
      <c r="B511" s="15" t="s">
        <v>2859</v>
      </c>
      <c r="C511" s="15" t="s">
        <v>2860</v>
      </c>
      <c r="D511" s="16"/>
      <c r="E511" s="16" t="s">
        <v>3353</v>
      </c>
      <c r="F511" s="16" t="s">
        <v>3353</v>
      </c>
      <c r="G511" s="16" t="str">
        <f>_xlfn.XLOOKUP( C511,RAW_DATA!B:B, RAW_DATA!Q:Q, "NOT FOUND" )</f>
        <v>2-s2.0-85161597200</v>
      </c>
      <c r="H511" s="1" t="b">
        <f t="shared" si="2"/>
        <v>0</v>
      </c>
      <c r="I511" s="1" t="b">
        <f t="shared" si="3"/>
        <v>0</v>
      </c>
    </row>
    <row r="512" spans="1:9" ht="15.75" customHeight="1">
      <c r="A512" s="14"/>
      <c r="B512" s="15" t="s">
        <v>2864</v>
      </c>
      <c r="C512" s="15" t="s">
        <v>2865</v>
      </c>
      <c r="D512" s="16"/>
      <c r="E512" s="16" t="s">
        <v>3352</v>
      </c>
      <c r="F512" s="16" t="s">
        <v>3353</v>
      </c>
      <c r="G512" s="16" t="str">
        <f>_xlfn.XLOOKUP( C512,RAW_DATA!B:B, RAW_DATA!Q:Q, "NOT FOUND" )</f>
        <v>2-s2.0-85108370948</v>
      </c>
      <c r="H512" s="1" t="b">
        <f t="shared" ref="H512:H600" si="4">COUNTIF( G:G, G512 ) &gt; 1</f>
        <v>0</v>
      </c>
      <c r="I512" s="1" t="b">
        <f t="shared" ref="I512:I600" si="5">COUNTIF( C:C, C512 ) &gt; 1</f>
        <v>0</v>
      </c>
    </row>
    <row r="513" spans="1:9" ht="15.75" customHeight="1">
      <c r="A513" s="14"/>
      <c r="B513" s="15" t="s">
        <v>2870</v>
      </c>
      <c r="C513" s="15" t="s">
        <v>2871</v>
      </c>
      <c r="D513" s="16"/>
      <c r="E513" s="16" t="s">
        <v>3353</v>
      </c>
      <c r="F513" s="16" t="s">
        <v>3353</v>
      </c>
      <c r="G513" s="16" t="str">
        <f>_xlfn.XLOOKUP( C513,RAW_DATA!B:B, RAW_DATA!Q:Q, "NOT FOUND" )</f>
        <v>2-s2.0-85174689339</v>
      </c>
      <c r="H513" s="1" t="b">
        <f t="shared" si="4"/>
        <v>0</v>
      </c>
      <c r="I513" s="1" t="b">
        <f t="shared" si="5"/>
        <v>0</v>
      </c>
    </row>
    <row r="514" spans="1:9" ht="15.75" customHeight="1">
      <c r="A514" s="14"/>
      <c r="B514" s="15" t="s">
        <v>2875</v>
      </c>
      <c r="C514" s="15" t="s">
        <v>2876</v>
      </c>
      <c r="D514" s="16"/>
      <c r="E514" s="16" t="s">
        <v>3353</v>
      </c>
      <c r="F514" s="16" t="s">
        <v>3353</v>
      </c>
      <c r="G514" s="16" t="str">
        <f>_xlfn.XLOOKUP( C514,RAW_DATA!B:B, RAW_DATA!Q:Q, "NOT FOUND" )</f>
        <v>2-s2.0-85196938809</v>
      </c>
      <c r="H514" s="1" t="b">
        <f t="shared" si="4"/>
        <v>0</v>
      </c>
      <c r="I514" s="1" t="b">
        <f t="shared" si="5"/>
        <v>0</v>
      </c>
    </row>
    <row r="515" spans="1:9" ht="15.75" customHeight="1">
      <c r="A515" s="14"/>
      <c r="B515" s="15" t="s">
        <v>2880</v>
      </c>
      <c r="C515" s="15" t="s">
        <v>2881</v>
      </c>
      <c r="D515" s="16"/>
      <c r="E515" s="16" t="s">
        <v>3353</v>
      </c>
      <c r="F515" s="16" t="s">
        <v>3353</v>
      </c>
      <c r="G515" s="16" t="str">
        <f>_xlfn.XLOOKUP( C515,RAW_DATA!B:B, RAW_DATA!Q:Q, "NOT FOUND" )</f>
        <v>2-s2.0-85012250250</v>
      </c>
      <c r="H515" s="1" t="b">
        <f t="shared" si="4"/>
        <v>0</v>
      </c>
      <c r="I515" s="1" t="b">
        <f t="shared" si="5"/>
        <v>0</v>
      </c>
    </row>
    <row r="516" spans="1:9" ht="15.75" customHeight="1">
      <c r="A516" s="14"/>
      <c r="B516" s="15" t="s">
        <v>2885</v>
      </c>
      <c r="C516" s="15" t="s">
        <v>2886</v>
      </c>
      <c r="D516" s="16"/>
      <c r="E516" s="16" t="s">
        <v>3353</v>
      </c>
      <c r="F516" s="16" t="s">
        <v>3353</v>
      </c>
      <c r="G516" s="16" t="str">
        <f>_xlfn.XLOOKUP( C516,RAW_DATA!B:B, RAW_DATA!Q:Q, "NOT FOUND" )</f>
        <v>2-s2.0-85088224257</v>
      </c>
      <c r="H516" s="1" t="b">
        <f t="shared" si="4"/>
        <v>0</v>
      </c>
      <c r="I516" s="1" t="b">
        <f t="shared" si="5"/>
        <v>0</v>
      </c>
    </row>
    <row r="517" spans="1:9" ht="15.75" customHeight="1">
      <c r="A517" s="14"/>
      <c r="B517" s="15" t="s">
        <v>2890</v>
      </c>
      <c r="C517" s="15" t="s">
        <v>2891</v>
      </c>
      <c r="D517" s="16"/>
      <c r="E517" s="16" t="s">
        <v>3352</v>
      </c>
      <c r="F517" s="16" t="s">
        <v>3353</v>
      </c>
      <c r="G517" s="16" t="str">
        <f>_xlfn.XLOOKUP( C517,RAW_DATA!B:B, RAW_DATA!Q:Q, "NOT FOUND" )</f>
        <v>2-s2.0-85141343234</v>
      </c>
      <c r="H517" s="1" t="b">
        <f t="shared" si="4"/>
        <v>0</v>
      </c>
      <c r="I517" s="1" t="b">
        <f t="shared" si="5"/>
        <v>0</v>
      </c>
    </row>
    <row r="518" spans="1:9" ht="15.75" customHeight="1">
      <c r="A518" s="14"/>
      <c r="B518" s="15" t="s">
        <v>2895</v>
      </c>
      <c r="C518" s="15" t="s">
        <v>2896</v>
      </c>
      <c r="D518" s="16"/>
      <c r="E518" s="16" t="s">
        <v>3353</v>
      </c>
      <c r="F518" s="16" t="s">
        <v>3353</v>
      </c>
      <c r="G518" s="16" t="str">
        <f>_xlfn.XLOOKUP( C518,RAW_DATA!B:B, RAW_DATA!Q:Q, "NOT FOUND" )</f>
        <v>2-s2.0-85070514654</v>
      </c>
      <c r="H518" s="1" t="b">
        <f t="shared" si="4"/>
        <v>0</v>
      </c>
      <c r="I518" s="1" t="b">
        <f t="shared" si="5"/>
        <v>0</v>
      </c>
    </row>
    <row r="519" spans="1:9" ht="15.75" customHeight="1">
      <c r="A519" s="14"/>
      <c r="B519" s="15" t="s">
        <v>2900</v>
      </c>
      <c r="C519" s="15" t="s">
        <v>2901</v>
      </c>
      <c r="D519" s="16"/>
      <c r="E519" s="16" t="s">
        <v>3353</v>
      </c>
      <c r="F519" s="16" t="s">
        <v>3353</v>
      </c>
      <c r="G519" s="16" t="str">
        <f>_xlfn.XLOOKUP( C519,RAW_DATA!B:B, RAW_DATA!Q:Q, "NOT FOUND" )</f>
        <v>2-s2.0-85014752866</v>
      </c>
      <c r="H519" s="1" t="b">
        <f t="shared" si="4"/>
        <v>0</v>
      </c>
      <c r="I519" s="1" t="b">
        <f t="shared" si="5"/>
        <v>0</v>
      </c>
    </row>
    <row r="520" spans="1:9" ht="15.75" customHeight="1">
      <c r="A520" s="14"/>
      <c r="B520" s="15" t="s">
        <v>2906</v>
      </c>
      <c r="C520" s="15" t="s">
        <v>2907</v>
      </c>
      <c r="D520" s="16"/>
      <c r="E520" s="16" t="s">
        <v>3352</v>
      </c>
      <c r="F520" s="16" t="s">
        <v>3353</v>
      </c>
      <c r="G520" s="16" t="str">
        <f>_xlfn.XLOOKUP( C520,RAW_DATA!B:B, RAW_DATA!Q:Q, "NOT FOUND" )</f>
        <v>2-s2.0-85009812078</v>
      </c>
      <c r="H520" s="1" t="b">
        <f t="shared" si="4"/>
        <v>0</v>
      </c>
      <c r="I520" s="1" t="b">
        <f t="shared" si="5"/>
        <v>0</v>
      </c>
    </row>
    <row r="521" spans="1:9" ht="15.75" customHeight="1">
      <c r="A521" s="14"/>
      <c r="B521" s="15" t="s">
        <v>2912</v>
      </c>
      <c r="C521" s="15" t="s">
        <v>2913</v>
      </c>
      <c r="D521" s="16"/>
      <c r="E521" s="16" t="s">
        <v>3353</v>
      </c>
      <c r="F521" s="16" t="s">
        <v>3353</v>
      </c>
      <c r="G521" s="16" t="str">
        <f>_xlfn.XLOOKUP( C521,RAW_DATA!B:B, RAW_DATA!Q:Q, "NOT FOUND" )</f>
        <v>2-s2.0-85121783951</v>
      </c>
      <c r="H521" s="1" t="b">
        <f t="shared" si="4"/>
        <v>0</v>
      </c>
      <c r="I521" s="1" t="b">
        <f t="shared" si="5"/>
        <v>0</v>
      </c>
    </row>
    <row r="522" spans="1:9" ht="15.75" customHeight="1">
      <c r="A522" s="14"/>
      <c r="B522" s="15" t="s">
        <v>2918</v>
      </c>
      <c r="C522" s="15" t="s">
        <v>2919</v>
      </c>
      <c r="D522" s="16"/>
      <c r="E522" s="16" t="s">
        <v>3352</v>
      </c>
      <c r="F522" s="16" t="s">
        <v>3353</v>
      </c>
      <c r="G522" s="16" t="str">
        <f>_xlfn.XLOOKUP( C522,RAW_DATA!B:B, RAW_DATA!Q:Q, "NOT FOUND" )</f>
        <v>2-s2.0-85125596662</v>
      </c>
      <c r="H522" s="1" t="b">
        <f t="shared" si="4"/>
        <v>0</v>
      </c>
      <c r="I522" s="1" t="b">
        <f t="shared" si="5"/>
        <v>0</v>
      </c>
    </row>
    <row r="523" spans="1:9" ht="15.75" customHeight="1">
      <c r="A523" s="14"/>
      <c r="B523" s="15" t="s">
        <v>2923</v>
      </c>
      <c r="C523" s="15" t="s">
        <v>2924</v>
      </c>
      <c r="D523" s="16"/>
      <c r="E523" s="16" t="s">
        <v>3353</v>
      </c>
      <c r="F523" s="16" t="s">
        <v>3353</v>
      </c>
      <c r="G523" s="16" t="str">
        <f>_xlfn.XLOOKUP( C523,RAW_DATA!B:B, RAW_DATA!Q:Q, "NOT FOUND" )</f>
        <v>2-s2.0-85130417262</v>
      </c>
      <c r="H523" s="1" t="b">
        <f t="shared" si="4"/>
        <v>0</v>
      </c>
      <c r="I523" s="1" t="b">
        <f t="shared" si="5"/>
        <v>0</v>
      </c>
    </row>
    <row r="524" spans="1:9" ht="15.75" customHeight="1">
      <c r="A524" s="14"/>
      <c r="B524" s="15" t="s">
        <v>2928</v>
      </c>
      <c r="C524" s="15" t="s">
        <v>2929</v>
      </c>
      <c r="D524" s="16"/>
      <c r="E524" s="16" t="s">
        <v>3352</v>
      </c>
      <c r="F524" s="16" t="s">
        <v>3353</v>
      </c>
      <c r="G524" s="16" t="str">
        <f>_xlfn.XLOOKUP( C524,RAW_DATA!B:B, RAW_DATA!Q:Q, "NOT FOUND" )</f>
        <v>2-s2.0-85130556468</v>
      </c>
      <c r="H524" s="1" t="b">
        <f t="shared" si="4"/>
        <v>0</v>
      </c>
      <c r="I524" s="1" t="b">
        <f t="shared" si="5"/>
        <v>0</v>
      </c>
    </row>
    <row r="525" spans="1:9" ht="15.75" customHeight="1">
      <c r="A525" s="14"/>
      <c r="B525" s="15" t="s">
        <v>2933</v>
      </c>
      <c r="C525" s="15" t="s">
        <v>2934</v>
      </c>
      <c r="D525" s="16" t="s">
        <v>3351</v>
      </c>
      <c r="E525" s="16" t="s">
        <v>3352</v>
      </c>
      <c r="F525" s="16" t="s">
        <v>3353</v>
      </c>
      <c r="G525" s="16" t="str">
        <f>_xlfn.XLOOKUP( C525,RAW_DATA!B:B, RAW_DATA!Q:Q, "NOT FOUND" )</f>
        <v>2-s2.0-85073474671</v>
      </c>
      <c r="H525" s="1" t="b">
        <f t="shared" si="4"/>
        <v>0</v>
      </c>
      <c r="I525" s="1" t="b">
        <f t="shared" si="5"/>
        <v>0</v>
      </c>
    </row>
    <row r="526" spans="1:9" ht="15.75" customHeight="1">
      <c r="A526" s="14"/>
      <c r="B526" s="15" t="s">
        <v>2939</v>
      </c>
      <c r="C526" s="15" t="s">
        <v>2940</v>
      </c>
      <c r="D526" s="16"/>
      <c r="E526" s="16" t="s">
        <v>3352</v>
      </c>
      <c r="F526" s="16" t="s">
        <v>3353</v>
      </c>
      <c r="G526" s="16" t="str">
        <f>_xlfn.XLOOKUP( C526,RAW_DATA!B:B, RAW_DATA!Q:Q, "NOT FOUND" )</f>
        <v>2-s2.0-85128660914</v>
      </c>
      <c r="H526" s="1" t="b">
        <f t="shared" si="4"/>
        <v>0</v>
      </c>
      <c r="I526" s="1" t="b">
        <f t="shared" si="5"/>
        <v>0</v>
      </c>
    </row>
    <row r="527" spans="1:9" ht="15.75" customHeight="1">
      <c r="A527" s="14" t="s">
        <v>3404</v>
      </c>
      <c r="B527" s="15" t="s">
        <v>2944</v>
      </c>
      <c r="C527" s="15" t="s">
        <v>2945</v>
      </c>
      <c r="D527" s="16" t="s">
        <v>3355</v>
      </c>
      <c r="E527" s="16" t="s">
        <v>3352</v>
      </c>
      <c r="F527" s="16" t="s">
        <v>3352</v>
      </c>
      <c r="G527" s="16" t="str">
        <f>_xlfn.XLOOKUP( C527,RAW_DATA!B:B, RAW_DATA!Q:Q, "NOT FOUND" )</f>
        <v>2-s2.0-85188959815</v>
      </c>
      <c r="H527" s="1" t="b">
        <f t="shared" si="4"/>
        <v>0</v>
      </c>
      <c r="I527" s="1" t="b">
        <f t="shared" si="5"/>
        <v>0</v>
      </c>
    </row>
    <row r="528" spans="1:9" ht="15.75" customHeight="1">
      <c r="A528" s="14"/>
      <c r="B528" s="15" t="s">
        <v>2949</v>
      </c>
      <c r="C528" s="15" t="s">
        <v>2950</v>
      </c>
      <c r="D528" s="16"/>
      <c r="E528" s="16" t="s">
        <v>3353</v>
      </c>
      <c r="F528" s="16" t="s">
        <v>3353</v>
      </c>
      <c r="G528" s="16" t="str">
        <f>_xlfn.XLOOKUP( C528,RAW_DATA!B:B, RAW_DATA!Q:Q, "NOT FOUND" )</f>
        <v>2-s2.0-85128781574</v>
      </c>
      <c r="H528" s="1" t="b">
        <f t="shared" si="4"/>
        <v>0</v>
      </c>
      <c r="I528" s="1" t="b">
        <f t="shared" si="5"/>
        <v>0</v>
      </c>
    </row>
    <row r="529" spans="1:9" ht="15.75" customHeight="1">
      <c r="A529" s="14"/>
      <c r="B529" s="15" t="s">
        <v>2955</v>
      </c>
      <c r="C529" s="15" t="s">
        <v>2956</v>
      </c>
      <c r="D529" s="16"/>
      <c r="E529" s="16" t="s">
        <v>3353</v>
      </c>
      <c r="F529" s="16" t="s">
        <v>3353</v>
      </c>
      <c r="G529" s="16" t="str">
        <f>_xlfn.XLOOKUP( C529,RAW_DATA!B:B, RAW_DATA!Q:Q, "NOT FOUND" )</f>
        <v>2-s2.0-85151962980</v>
      </c>
      <c r="H529" s="1" t="b">
        <f t="shared" si="4"/>
        <v>0</v>
      </c>
      <c r="I529" s="1" t="b">
        <f t="shared" si="5"/>
        <v>0</v>
      </c>
    </row>
    <row r="530" spans="1:9" ht="15.75" customHeight="1">
      <c r="A530" s="14"/>
      <c r="B530" s="15" t="s">
        <v>2960</v>
      </c>
      <c r="C530" s="15" t="s">
        <v>2961</v>
      </c>
      <c r="D530" s="16"/>
      <c r="E530" s="16" t="s">
        <v>3352</v>
      </c>
      <c r="F530" s="16" t="s">
        <v>3353</v>
      </c>
      <c r="G530" s="16" t="str">
        <f>_xlfn.XLOOKUP( C530,RAW_DATA!B:B, RAW_DATA!Q:Q, "NOT FOUND" )</f>
        <v>2-s2.0-85104988842</v>
      </c>
      <c r="H530" s="1" t="b">
        <f t="shared" si="4"/>
        <v>0</v>
      </c>
      <c r="I530" s="1" t="b">
        <f t="shared" si="5"/>
        <v>0</v>
      </c>
    </row>
    <row r="531" spans="1:9" ht="15.75" customHeight="1">
      <c r="A531" s="14"/>
      <c r="B531" s="15" t="s">
        <v>2966</v>
      </c>
      <c r="C531" s="15" t="s">
        <v>2967</v>
      </c>
      <c r="D531" s="16"/>
      <c r="E531" s="16" t="s">
        <v>3353</v>
      </c>
      <c r="F531" s="16" t="s">
        <v>3353</v>
      </c>
      <c r="G531" s="16" t="str">
        <f>_xlfn.XLOOKUP( C531,RAW_DATA!B:B, RAW_DATA!Q:Q, "NOT FOUND" )</f>
        <v>2-s2.0-85064415776</v>
      </c>
      <c r="H531" s="1" t="b">
        <f t="shared" si="4"/>
        <v>0</v>
      </c>
      <c r="I531" s="1" t="b">
        <f t="shared" si="5"/>
        <v>0</v>
      </c>
    </row>
    <row r="532" spans="1:9" ht="15.75" customHeight="1">
      <c r="A532" s="14"/>
      <c r="B532" s="15" t="s">
        <v>2972</v>
      </c>
      <c r="C532" s="15" t="s">
        <v>2973</v>
      </c>
      <c r="D532" s="16"/>
      <c r="E532" s="16" t="s">
        <v>3353</v>
      </c>
      <c r="F532" s="16" t="s">
        <v>3353</v>
      </c>
      <c r="G532" s="16" t="str">
        <f>_xlfn.XLOOKUP( C532,RAW_DATA!B:B, RAW_DATA!Q:Q, "NOT FOUND" )</f>
        <v>2-s2.0-85018776235</v>
      </c>
      <c r="H532" s="1" t="b">
        <f t="shared" si="4"/>
        <v>0</v>
      </c>
      <c r="I532" s="1" t="b">
        <f t="shared" si="5"/>
        <v>0</v>
      </c>
    </row>
    <row r="533" spans="1:9" ht="15.75" customHeight="1">
      <c r="A533" s="14"/>
      <c r="B533" s="15" t="s">
        <v>2977</v>
      </c>
      <c r="C533" s="15" t="s">
        <v>2978</v>
      </c>
      <c r="D533" s="16"/>
      <c r="E533" s="16" t="s">
        <v>3353</v>
      </c>
      <c r="F533" s="16" t="s">
        <v>3353</v>
      </c>
      <c r="G533" s="16" t="str">
        <f>_xlfn.XLOOKUP( C533,RAW_DATA!B:B, RAW_DATA!Q:Q, "NOT FOUND" )</f>
        <v>2-s2.0-85019962571</v>
      </c>
      <c r="H533" s="1" t="b">
        <f t="shared" si="4"/>
        <v>0</v>
      </c>
      <c r="I533" s="1" t="b">
        <f t="shared" si="5"/>
        <v>0</v>
      </c>
    </row>
    <row r="534" spans="1:9" ht="15.75" customHeight="1">
      <c r="A534" s="14"/>
      <c r="B534" s="15" t="s">
        <v>2983</v>
      </c>
      <c r="C534" s="15" t="s">
        <v>2984</v>
      </c>
      <c r="D534" s="16"/>
      <c r="E534" s="16" t="s">
        <v>3352</v>
      </c>
      <c r="F534" s="16" t="s">
        <v>3353</v>
      </c>
      <c r="G534" s="16" t="str">
        <f>_xlfn.XLOOKUP( C534,RAW_DATA!B:B, RAW_DATA!Q:Q, "NOT FOUND" )</f>
        <v>2-s2.0-105033271337</v>
      </c>
      <c r="H534" s="1" t="b">
        <f t="shared" si="4"/>
        <v>0</v>
      </c>
      <c r="I534" s="1" t="b">
        <f t="shared" si="5"/>
        <v>0</v>
      </c>
    </row>
    <row r="535" spans="1:9" ht="15.75" customHeight="1">
      <c r="A535" s="14"/>
      <c r="B535" s="15" t="s">
        <v>2989</v>
      </c>
      <c r="C535" s="15" t="s">
        <v>2990</v>
      </c>
      <c r="D535" s="16"/>
      <c r="E535" s="16" t="s">
        <v>3352</v>
      </c>
      <c r="F535" s="16" t="s">
        <v>3353</v>
      </c>
      <c r="G535" s="16" t="str">
        <f>_xlfn.XLOOKUP( C535,RAW_DATA!B:B, RAW_DATA!Q:Q, "NOT FOUND" )</f>
        <v>2-s2.0-85106731437</v>
      </c>
      <c r="H535" s="1" t="b">
        <f t="shared" si="4"/>
        <v>0</v>
      </c>
      <c r="I535" s="1" t="b">
        <f t="shared" si="5"/>
        <v>0</v>
      </c>
    </row>
    <row r="536" spans="1:9" ht="15.75" customHeight="1">
      <c r="A536" s="14"/>
      <c r="B536" s="15" t="s">
        <v>2994</v>
      </c>
      <c r="C536" s="15" t="s">
        <v>2995</v>
      </c>
      <c r="D536" s="16"/>
      <c r="E536" s="16" t="s">
        <v>3353</v>
      </c>
      <c r="F536" s="16" t="s">
        <v>3353</v>
      </c>
      <c r="G536" s="16" t="str">
        <f>_xlfn.XLOOKUP( C536,RAW_DATA!B:B, RAW_DATA!Q:Q, "NOT FOUND" )</f>
        <v>2-s2.0-85114137858</v>
      </c>
      <c r="H536" s="1" t="b">
        <f t="shared" si="4"/>
        <v>0</v>
      </c>
      <c r="I536" s="1" t="b">
        <f t="shared" si="5"/>
        <v>0</v>
      </c>
    </row>
    <row r="537" spans="1:9" ht="15.75" customHeight="1">
      <c r="A537" s="14"/>
      <c r="B537" s="15" t="s">
        <v>3002</v>
      </c>
      <c r="C537" s="15" t="s">
        <v>3003</v>
      </c>
      <c r="D537" s="16"/>
      <c r="E537" s="16" t="s">
        <v>3352</v>
      </c>
      <c r="F537" s="16" t="s">
        <v>3353</v>
      </c>
      <c r="G537" s="16" t="str">
        <f>_xlfn.XLOOKUP( C537,RAW_DATA!B:B, RAW_DATA!Q:Q, "NOT FOUND" )</f>
        <v>2-s2.0-85117961777</v>
      </c>
      <c r="H537" s="1" t="b">
        <f t="shared" si="4"/>
        <v>0</v>
      </c>
      <c r="I537" s="1" t="b">
        <f t="shared" si="5"/>
        <v>0</v>
      </c>
    </row>
    <row r="538" spans="1:9" ht="15.75" customHeight="1">
      <c r="A538" s="14"/>
      <c r="B538" s="15" t="s">
        <v>3007</v>
      </c>
      <c r="C538" s="15" t="s">
        <v>3008</v>
      </c>
      <c r="D538" s="16"/>
      <c r="E538" s="16" t="s">
        <v>3353</v>
      </c>
      <c r="F538" s="16" t="s">
        <v>3353</v>
      </c>
      <c r="G538" s="16" t="str">
        <f>_xlfn.XLOOKUP( C538,RAW_DATA!B:B, RAW_DATA!Q:Q, "NOT FOUND" )</f>
        <v>2-s2.0-85100857298</v>
      </c>
      <c r="H538" s="1" t="b">
        <f t="shared" si="4"/>
        <v>0</v>
      </c>
      <c r="I538" s="1" t="b">
        <f t="shared" si="5"/>
        <v>0</v>
      </c>
    </row>
    <row r="539" spans="1:9" ht="15.75" customHeight="1">
      <c r="A539" s="14"/>
      <c r="B539" s="15" t="s">
        <v>3013</v>
      </c>
      <c r="C539" s="15" t="s">
        <v>3014</v>
      </c>
      <c r="D539" s="16"/>
      <c r="E539" s="16" t="s">
        <v>3353</v>
      </c>
      <c r="F539" s="16" t="s">
        <v>3353</v>
      </c>
      <c r="G539" s="16" t="str">
        <f>_xlfn.XLOOKUP( C539,RAW_DATA!B:B, RAW_DATA!Q:Q, "NOT FOUND" )</f>
        <v>2-s2.0-85104548499</v>
      </c>
      <c r="H539" s="1" t="b">
        <f t="shared" si="4"/>
        <v>0</v>
      </c>
      <c r="I539" s="1" t="b">
        <f t="shared" si="5"/>
        <v>0</v>
      </c>
    </row>
    <row r="540" spans="1:9" ht="15.75" customHeight="1">
      <c r="A540" s="14"/>
      <c r="B540" s="15" t="s">
        <v>3018</v>
      </c>
      <c r="C540" s="15" t="s">
        <v>3019</v>
      </c>
      <c r="D540" s="16"/>
      <c r="E540" s="16" t="s">
        <v>3353</v>
      </c>
      <c r="F540" s="16" t="s">
        <v>3353</v>
      </c>
      <c r="G540" s="16" t="str">
        <f>_xlfn.XLOOKUP( C540,RAW_DATA!B:B, RAW_DATA!Q:Q, "NOT FOUND" )</f>
        <v>2-s2.0-85113890942</v>
      </c>
      <c r="H540" s="1" t="b">
        <f t="shared" si="4"/>
        <v>0</v>
      </c>
      <c r="I540" s="1" t="b">
        <f t="shared" si="5"/>
        <v>0</v>
      </c>
    </row>
    <row r="541" spans="1:9" ht="15.75" customHeight="1">
      <c r="A541" s="14"/>
      <c r="B541" s="15" t="s">
        <v>3024</v>
      </c>
      <c r="C541" s="15" t="s">
        <v>3025</v>
      </c>
      <c r="D541" s="16"/>
      <c r="E541" s="16" t="s">
        <v>3353</v>
      </c>
      <c r="F541" s="16" t="s">
        <v>3353</v>
      </c>
      <c r="G541" s="16" t="str">
        <f>_xlfn.XLOOKUP( C541,RAW_DATA!B:B, RAW_DATA!Q:Q, "NOT FOUND" )</f>
        <v>2-s2.0-85143804700</v>
      </c>
      <c r="H541" s="1" t="b">
        <f t="shared" si="4"/>
        <v>0</v>
      </c>
      <c r="I541" s="1" t="b">
        <f t="shared" si="5"/>
        <v>0</v>
      </c>
    </row>
    <row r="542" spans="1:9" ht="15.75" customHeight="1">
      <c r="A542" s="14"/>
      <c r="B542" s="15" t="s">
        <v>3030</v>
      </c>
      <c r="C542" s="15" t="s">
        <v>3031</v>
      </c>
      <c r="D542" s="16"/>
      <c r="E542" s="16" t="s">
        <v>3353</v>
      </c>
      <c r="F542" s="16" t="s">
        <v>3353</v>
      </c>
      <c r="G542" s="16" t="str">
        <f>_xlfn.XLOOKUP( C542,RAW_DATA!B:B, RAW_DATA!Q:Q, "NOT FOUND" )</f>
        <v>2-s2.0-85120522756</v>
      </c>
      <c r="H542" s="1" t="b">
        <f t="shared" si="4"/>
        <v>0</v>
      </c>
      <c r="I542" s="1" t="b">
        <f t="shared" si="5"/>
        <v>0</v>
      </c>
    </row>
    <row r="543" spans="1:9" ht="15.75" customHeight="1">
      <c r="A543" s="14"/>
      <c r="B543" s="15" t="s">
        <v>3036</v>
      </c>
      <c r="C543" s="15" t="s">
        <v>3037</v>
      </c>
      <c r="D543" s="16"/>
      <c r="E543" s="16" t="s">
        <v>3353</v>
      </c>
      <c r="F543" s="16" t="s">
        <v>3353</v>
      </c>
      <c r="G543" s="16" t="str">
        <f>_xlfn.XLOOKUP( C543,RAW_DATA!B:B, RAW_DATA!Q:Q, "NOT FOUND" )</f>
        <v>2-s2.0-85042620863</v>
      </c>
      <c r="H543" s="1" t="b">
        <f t="shared" si="4"/>
        <v>0</v>
      </c>
      <c r="I543" s="1" t="b">
        <f t="shared" si="5"/>
        <v>0</v>
      </c>
    </row>
    <row r="544" spans="1:9" ht="15.75" customHeight="1">
      <c r="A544" s="14"/>
      <c r="B544" s="15" t="s">
        <v>3041</v>
      </c>
      <c r="C544" s="15" t="s">
        <v>3042</v>
      </c>
      <c r="D544" s="16"/>
      <c r="E544" s="16" t="s">
        <v>3353</v>
      </c>
      <c r="F544" s="16" t="s">
        <v>3353</v>
      </c>
      <c r="G544" s="16" t="str">
        <f>_xlfn.XLOOKUP( C544,RAW_DATA!B:B, RAW_DATA!Q:Q, "NOT FOUND" )</f>
        <v>2-s2.0-85126353317</v>
      </c>
      <c r="H544" s="1" t="b">
        <f t="shared" si="4"/>
        <v>0</v>
      </c>
      <c r="I544" s="1" t="b">
        <f t="shared" si="5"/>
        <v>0</v>
      </c>
    </row>
    <row r="545" spans="1:9" ht="15.75" customHeight="1">
      <c r="A545" s="14"/>
      <c r="B545" s="15" t="s">
        <v>3046</v>
      </c>
      <c r="C545" s="15" t="s">
        <v>3047</v>
      </c>
      <c r="D545" s="16"/>
      <c r="E545" s="16" t="s">
        <v>3352</v>
      </c>
      <c r="F545" s="16" t="s">
        <v>3353</v>
      </c>
      <c r="G545" s="16" t="str">
        <f>_xlfn.XLOOKUP( C545,RAW_DATA!B:B, RAW_DATA!Q:Q, "NOT FOUND" )</f>
        <v>2-s2.0-85068701748</v>
      </c>
      <c r="H545" s="1" t="b">
        <f t="shared" si="4"/>
        <v>0</v>
      </c>
      <c r="I545" s="1" t="b">
        <f t="shared" si="5"/>
        <v>0</v>
      </c>
    </row>
    <row r="546" spans="1:9" ht="15.75" customHeight="1">
      <c r="A546" s="14"/>
      <c r="B546" s="15" t="s">
        <v>3051</v>
      </c>
      <c r="C546" s="15" t="s">
        <v>3052</v>
      </c>
      <c r="D546" s="16"/>
      <c r="E546" s="16" t="s">
        <v>3352</v>
      </c>
      <c r="F546" s="16" t="s">
        <v>3353</v>
      </c>
      <c r="G546" s="16" t="str">
        <f>_xlfn.XLOOKUP( C546,RAW_DATA!B:B, RAW_DATA!Q:Q, "NOT FOUND" )</f>
        <v>2-s2.0-85197048519</v>
      </c>
      <c r="H546" s="1" t="b">
        <f t="shared" si="4"/>
        <v>0</v>
      </c>
      <c r="I546" s="1" t="b">
        <f t="shared" si="5"/>
        <v>0</v>
      </c>
    </row>
    <row r="547" spans="1:9" ht="15.75" customHeight="1">
      <c r="A547" s="14"/>
      <c r="B547" s="15" t="s">
        <v>3057</v>
      </c>
      <c r="C547" s="15" t="s">
        <v>3058</v>
      </c>
      <c r="D547" s="16"/>
      <c r="E547" s="16" t="s">
        <v>3353</v>
      </c>
      <c r="F547" s="16" t="s">
        <v>3353</v>
      </c>
      <c r="G547" s="16" t="str">
        <f>_xlfn.XLOOKUP( C547,RAW_DATA!B:B, RAW_DATA!Q:Q, "NOT FOUND" )</f>
        <v>2-s2.0-85091294383</v>
      </c>
      <c r="H547" s="1" t="b">
        <f t="shared" si="4"/>
        <v>0</v>
      </c>
      <c r="I547" s="1" t="b">
        <f t="shared" si="5"/>
        <v>0</v>
      </c>
    </row>
    <row r="548" spans="1:9" ht="15.75" customHeight="1">
      <c r="A548" s="14"/>
      <c r="B548" s="15" t="s">
        <v>3062</v>
      </c>
      <c r="C548" s="15" t="s">
        <v>3063</v>
      </c>
      <c r="D548" s="16"/>
      <c r="E548" s="16" t="s">
        <v>3353</v>
      </c>
      <c r="F548" s="16" t="s">
        <v>3353</v>
      </c>
      <c r="G548" s="16" t="str">
        <f>_xlfn.XLOOKUP( C548,RAW_DATA!B:B, RAW_DATA!Q:Q, "NOT FOUND" )</f>
        <v>2-s2.0-85053075271</v>
      </c>
      <c r="H548" s="1" t="b">
        <f t="shared" si="4"/>
        <v>0</v>
      </c>
      <c r="I548" s="1" t="b">
        <f t="shared" si="5"/>
        <v>0</v>
      </c>
    </row>
    <row r="549" spans="1:9" ht="15.75" customHeight="1">
      <c r="A549" s="14"/>
      <c r="B549" s="15" t="s">
        <v>3067</v>
      </c>
      <c r="C549" s="15" t="s">
        <v>3068</v>
      </c>
      <c r="D549" s="16"/>
      <c r="E549" s="16" t="s">
        <v>3353</v>
      </c>
      <c r="F549" s="16" t="s">
        <v>3353</v>
      </c>
      <c r="G549" s="16" t="str">
        <f>_xlfn.XLOOKUP( C549,RAW_DATA!B:B, RAW_DATA!Q:Q, "NOT FOUND" )</f>
        <v>2-s2.0-85073603025</v>
      </c>
      <c r="H549" s="1" t="b">
        <f t="shared" si="4"/>
        <v>0</v>
      </c>
      <c r="I549" s="1" t="b">
        <f t="shared" si="5"/>
        <v>0</v>
      </c>
    </row>
    <row r="550" spans="1:9" ht="15.75" customHeight="1">
      <c r="A550" s="14"/>
      <c r="B550" s="15" t="s">
        <v>3073</v>
      </c>
      <c r="C550" s="15" t="s">
        <v>3074</v>
      </c>
      <c r="D550" s="16"/>
      <c r="E550" s="16" t="s">
        <v>3353</v>
      </c>
      <c r="F550" s="16" t="s">
        <v>3353</v>
      </c>
      <c r="G550" s="16" t="str">
        <f>_xlfn.XLOOKUP( C550,RAW_DATA!B:B, RAW_DATA!Q:Q, "NOT FOUND" )</f>
        <v>2-s2.0-85089532844</v>
      </c>
      <c r="H550" s="1" t="b">
        <f t="shared" si="4"/>
        <v>0</v>
      </c>
      <c r="I550" s="1" t="b">
        <f t="shared" si="5"/>
        <v>0</v>
      </c>
    </row>
    <row r="551" spans="1:9" ht="15.75" customHeight="1">
      <c r="A551" s="14"/>
      <c r="B551" s="15" t="s">
        <v>3079</v>
      </c>
      <c r="C551" s="15" t="s">
        <v>3080</v>
      </c>
      <c r="D551" s="16"/>
      <c r="E551" s="16" t="s">
        <v>3352</v>
      </c>
      <c r="F551" s="16" t="s">
        <v>3353</v>
      </c>
      <c r="G551" s="16" t="str">
        <f>_xlfn.XLOOKUP( C551,RAW_DATA!B:B, RAW_DATA!Q:Q, "NOT FOUND" )</f>
        <v>2-s2.0-85074846495</v>
      </c>
      <c r="H551" s="1" t="b">
        <f t="shared" si="4"/>
        <v>0</v>
      </c>
      <c r="I551" s="1" t="b">
        <f t="shared" si="5"/>
        <v>0</v>
      </c>
    </row>
    <row r="552" spans="1:9" ht="15.75" customHeight="1">
      <c r="A552" s="14"/>
      <c r="B552" s="15" t="s">
        <v>3084</v>
      </c>
      <c r="C552" s="15" t="s">
        <v>3085</v>
      </c>
      <c r="D552" s="16"/>
      <c r="E552" s="16" t="s">
        <v>3352</v>
      </c>
      <c r="F552" s="16" t="s">
        <v>3353</v>
      </c>
      <c r="G552" s="16" t="str">
        <f>_xlfn.XLOOKUP( C552,RAW_DATA!B:B, RAW_DATA!Q:Q, "NOT FOUND" )</f>
        <v>2-s2.0-85079061290</v>
      </c>
      <c r="H552" s="1" t="b">
        <f t="shared" si="4"/>
        <v>0</v>
      </c>
      <c r="I552" s="1" t="b">
        <f t="shared" si="5"/>
        <v>0</v>
      </c>
    </row>
    <row r="553" spans="1:9" ht="15.75" customHeight="1">
      <c r="A553" s="14"/>
      <c r="B553" s="15" t="s">
        <v>3089</v>
      </c>
      <c r="C553" s="15" t="s">
        <v>3090</v>
      </c>
      <c r="D553" s="16"/>
      <c r="E553" s="16" t="s">
        <v>3353</v>
      </c>
      <c r="F553" s="16" t="s">
        <v>3353</v>
      </c>
      <c r="G553" s="16" t="str">
        <f>_xlfn.XLOOKUP( C553,RAW_DATA!B:B, RAW_DATA!Q:Q, "NOT FOUND" )</f>
        <v>2-s2.0-85069850976</v>
      </c>
      <c r="H553" s="1" t="b">
        <f t="shared" si="4"/>
        <v>0</v>
      </c>
      <c r="I553" s="1" t="b">
        <f t="shared" si="5"/>
        <v>0</v>
      </c>
    </row>
    <row r="554" spans="1:9" ht="15.75" customHeight="1">
      <c r="A554" s="14"/>
      <c r="B554" s="15" t="s">
        <v>3094</v>
      </c>
      <c r="C554" s="15" t="s">
        <v>3095</v>
      </c>
      <c r="D554" s="16"/>
      <c r="E554" s="16" t="s">
        <v>3352</v>
      </c>
      <c r="F554" s="16" t="s">
        <v>3353</v>
      </c>
      <c r="G554" s="16" t="str">
        <f>_xlfn.XLOOKUP( C554,RAW_DATA!B:B, RAW_DATA!Q:Q, "NOT FOUND" )</f>
        <v>2-s2.0-85163401895</v>
      </c>
      <c r="H554" s="1" t="b">
        <f t="shared" si="4"/>
        <v>0</v>
      </c>
      <c r="I554" s="1" t="b">
        <f t="shared" si="5"/>
        <v>0</v>
      </c>
    </row>
    <row r="555" spans="1:9" ht="15.75" customHeight="1">
      <c r="A555" s="14"/>
      <c r="B555" s="15" t="s">
        <v>3099</v>
      </c>
      <c r="C555" s="15" t="s">
        <v>3100</v>
      </c>
      <c r="D555" s="16"/>
      <c r="E555" s="16" t="s">
        <v>3353</v>
      </c>
      <c r="F555" s="16" t="s">
        <v>3353</v>
      </c>
      <c r="G555" s="16" t="str">
        <f>_xlfn.XLOOKUP( C555,RAW_DATA!B:B, RAW_DATA!Q:Q, "NOT FOUND" )</f>
        <v>2-s2.0-85087053769</v>
      </c>
      <c r="H555" s="1" t="b">
        <f t="shared" si="4"/>
        <v>0</v>
      </c>
      <c r="I555" s="1" t="b">
        <f t="shared" si="5"/>
        <v>0</v>
      </c>
    </row>
    <row r="556" spans="1:9" ht="15.75" customHeight="1">
      <c r="A556" s="14"/>
      <c r="B556" s="15" t="s">
        <v>3105</v>
      </c>
      <c r="C556" s="15" t="s">
        <v>3106</v>
      </c>
      <c r="D556" s="16"/>
      <c r="E556" s="16" t="s">
        <v>3353</v>
      </c>
      <c r="F556" s="16" t="s">
        <v>3353</v>
      </c>
      <c r="G556" s="16" t="str">
        <f>_xlfn.XLOOKUP( C556,RAW_DATA!B:B, RAW_DATA!Q:Q, "NOT FOUND" )</f>
        <v>2-s2.0-85124744330</v>
      </c>
      <c r="H556" s="1" t="b">
        <f t="shared" si="4"/>
        <v>0</v>
      </c>
      <c r="I556" s="1" t="b">
        <f t="shared" si="5"/>
        <v>0</v>
      </c>
    </row>
    <row r="557" spans="1:9" ht="15.75" customHeight="1">
      <c r="A557" s="14"/>
      <c r="B557" s="15" t="s">
        <v>3110</v>
      </c>
      <c r="C557" s="15" t="s">
        <v>3111</v>
      </c>
      <c r="D557" s="16"/>
      <c r="E557" s="16" t="s">
        <v>3352</v>
      </c>
      <c r="F557" s="16" t="s">
        <v>3353</v>
      </c>
      <c r="G557" s="16" t="str">
        <f>_xlfn.XLOOKUP( C557,RAW_DATA!B:B, RAW_DATA!Q:Q, "NOT FOUND" )</f>
        <v>2-s2.0-84973359534</v>
      </c>
      <c r="H557" s="1" t="b">
        <f t="shared" si="4"/>
        <v>0</v>
      </c>
      <c r="I557" s="1" t="b">
        <f t="shared" si="5"/>
        <v>0</v>
      </c>
    </row>
    <row r="558" spans="1:9" ht="15.75" customHeight="1">
      <c r="A558" s="14"/>
      <c r="B558" s="15" t="s">
        <v>3116</v>
      </c>
      <c r="C558" s="15" t="s">
        <v>3117</v>
      </c>
      <c r="D558" s="16"/>
      <c r="E558" s="16" t="s">
        <v>3353</v>
      </c>
      <c r="F558" s="16" t="s">
        <v>3353</v>
      </c>
      <c r="G558" s="16" t="str">
        <f>_xlfn.XLOOKUP( C558,RAW_DATA!B:B, RAW_DATA!Q:Q, "NOT FOUND" )</f>
        <v>2-s2.0-85060617162</v>
      </c>
      <c r="H558" s="1" t="b">
        <f t="shared" si="4"/>
        <v>0</v>
      </c>
      <c r="I558" s="1" t="b">
        <f t="shared" si="5"/>
        <v>0</v>
      </c>
    </row>
    <row r="559" spans="1:9" ht="15.75" customHeight="1">
      <c r="A559" s="14"/>
      <c r="B559" s="15" t="s">
        <v>3121</v>
      </c>
      <c r="C559" s="15" t="s">
        <v>3122</v>
      </c>
      <c r="D559" s="16"/>
      <c r="E559" s="16" t="s">
        <v>3353</v>
      </c>
      <c r="F559" s="16" t="s">
        <v>3353</v>
      </c>
      <c r="G559" s="16" t="str">
        <f>_xlfn.XLOOKUP( C559,RAW_DATA!B:B, RAW_DATA!Q:Q, "NOT FOUND" )</f>
        <v>2-s2.0-85130246833</v>
      </c>
      <c r="H559" s="1" t="b">
        <f t="shared" si="4"/>
        <v>0</v>
      </c>
      <c r="I559" s="1" t="b">
        <f t="shared" si="5"/>
        <v>0</v>
      </c>
    </row>
    <row r="560" spans="1:9" ht="15.75" customHeight="1">
      <c r="A560" s="14"/>
      <c r="B560" s="15" t="s">
        <v>3127</v>
      </c>
      <c r="C560" s="15" t="s">
        <v>3128</v>
      </c>
      <c r="D560" s="16"/>
      <c r="E560" s="16" t="s">
        <v>3353</v>
      </c>
      <c r="F560" s="16" t="s">
        <v>3353</v>
      </c>
      <c r="G560" s="16" t="str">
        <f>_xlfn.XLOOKUP( C560,RAW_DATA!B:B, RAW_DATA!Q:Q, "NOT FOUND" )</f>
        <v>2-s2.0-85178907471</v>
      </c>
      <c r="H560" s="1" t="b">
        <f t="shared" si="4"/>
        <v>0</v>
      </c>
      <c r="I560" s="1" t="b">
        <f t="shared" si="5"/>
        <v>0</v>
      </c>
    </row>
    <row r="561" spans="1:9" ht="15.75" customHeight="1">
      <c r="A561" s="14"/>
      <c r="B561" s="15" t="s">
        <v>3133</v>
      </c>
      <c r="C561" s="15" t="s">
        <v>3134</v>
      </c>
      <c r="D561" s="16"/>
      <c r="E561" s="16" t="s">
        <v>3353</v>
      </c>
      <c r="F561" s="16" t="s">
        <v>3353</v>
      </c>
      <c r="G561" s="16" t="str">
        <f>_xlfn.XLOOKUP( C561,RAW_DATA!B:B, RAW_DATA!Q:Q, "NOT FOUND" )</f>
        <v>2-s2.0-85163571235</v>
      </c>
      <c r="H561" s="1" t="b">
        <f t="shared" si="4"/>
        <v>0</v>
      </c>
      <c r="I561" s="1" t="b">
        <f t="shared" si="5"/>
        <v>0</v>
      </c>
    </row>
    <row r="562" spans="1:9" ht="15.75" customHeight="1">
      <c r="A562" s="14"/>
      <c r="B562" s="15" t="s">
        <v>3138</v>
      </c>
      <c r="C562" s="15" t="s">
        <v>3139</v>
      </c>
      <c r="D562" s="16"/>
      <c r="E562" s="16" t="s">
        <v>3352</v>
      </c>
      <c r="F562" s="16" t="s">
        <v>3353</v>
      </c>
      <c r="G562" s="16" t="str">
        <f>_xlfn.XLOOKUP( C562,RAW_DATA!B:B, RAW_DATA!Q:Q, "NOT FOUND" )</f>
        <v>2-s2.0-85124835843</v>
      </c>
      <c r="H562" s="1" t="b">
        <f t="shared" si="4"/>
        <v>0</v>
      </c>
      <c r="I562" s="1" t="b">
        <f t="shared" si="5"/>
        <v>0</v>
      </c>
    </row>
    <row r="563" spans="1:9" ht="15.75" customHeight="1">
      <c r="A563" s="14"/>
      <c r="B563" s="15" t="s">
        <v>3143</v>
      </c>
      <c r="C563" s="15" t="s">
        <v>3144</v>
      </c>
      <c r="D563" s="16"/>
      <c r="E563" s="16" t="s">
        <v>3353</v>
      </c>
      <c r="F563" s="16" t="s">
        <v>3353</v>
      </c>
      <c r="G563" s="16" t="str">
        <f>_xlfn.XLOOKUP( C563,RAW_DATA!B:B, RAW_DATA!Q:Q, "NOT FOUND" )</f>
        <v>2-s2.0-85152491368</v>
      </c>
      <c r="H563" s="1" t="b">
        <f t="shared" si="4"/>
        <v>0</v>
      </c>
      <c r="I563" s="1" t="b">
        <f t="shared" si="5"/>
        <v>0</v>
      </c>
    </row>
    <row r="564" spans="1:9" ht="15.75" customHeight="1">
      <c r="A564" s="14"/>
      <c r="B564" s="15" t="s">
        <v>3148</v>
      </c>
      <c r="C564" s="15" t="s">
        <v>3149</v>
      </c>
      <c r="D564" s="16"/>
      <c r="E564" s="16" t="s">
        <v>3352</v>
      </c>
      <c r="F564" s="16" t="s">
        <v>3353</v>
      </c>
      <c r="G564" s="16" t="str">
        <f>_xlfn.XLOOKUP( C564,RAW_DATA!B:B, RAW_DATA!Q:Q, "NOT FOUND" )</f>
        <v>2-s2.0-85189316343</v>
      </c>
      <c r="H564" s="1" t="b">
        <f t="shared" si="4"/>
        <v>0</v>
      </c>
      <c r="I564" s="1" t="b">
        <f t="shared" si="5"/>
        <v>0</v>
      </c>
    </row>
    <row r="565" spans="1:9" ht="15.75" customHeight="1">
      <c r="A565" s="14" t="s">
        <v>3405</v>
      </c>
      <c r="B565" s="15" t="s">
        <v>3154</v>
      </c>
      <c r="C565" s="15" t="s">
        <v>3155</v>
      </c>
      <c r="D565" s="16" t="s">
        <v>3359</v>
      </c>
      <c r="E565" s="16" t="s">
        <v>3352</v>
      </c>
      <c r="F565" s="16" t="s">
        <v>3352</v>
      </c>
      <c r="G565" s="16" t="str">
        <f>_xlfn.XLOOKUP( C565,RAW_DATA!B:B, RAW_DATA!Q:Q, "NOT FOUND" )</f>
        <v>2-s2.0-85172139911</v>
      </c>
      <c r="H565" s="1" t="b">
        <f t="shared" si="4"/>
        <v>0</v>
      </c>
      <c r="I565" s="1" t="b">
        <f t="shared" si="5"/>
        <v>0</v>
      </c>
    </row>
    <row r="566" spans="1:9" ht="15.75" customHeight="1">
      <c r="A566" s="14"/>
      <c r="B566" s="15" t="s">
        <v>3160</v>
      </c>
      <c r="C566" s="15" t="s">
        <v>3161</v>
      </c>
      <c r="D566" s="16"/>
      <c r="E566" s="16" t="s">
        <v>3353</v>
      </c>
      <c r="F566" s="16" t="s">
        <v>3353</v>
      </c>
      <c r="G566" s="16" t="str">
        <f>_xlfn.XLOOKUP( C566,RAW_DATA!B:B, RAW_DATA!Q:Q, "NOT FOUND" )</f>
        <v>2-s2.0-85135529741</v>
      </c>
      <c r="H566" s="1" t="b">
        <f t="shared" si="4"/>
        <v>0</v>
      </c>
      <c r="I566" s="1" t="b">
        <f t="shared" si="5"/>
        <v>0</v>
      </c>
    </row>
    <row r="567" spans="1:9" ht="15.75" customHeight="1">
      <c r="A567" s="14"/>
      <c r="B567" s="15" t="s">
        <v>3165</v>
      </c>
      <c r="C567" s="15" t="s">
        <v>3166</v>
      </c>
      <c r="D567" s="16"/>
      <c r="E567" s="16" t="s">
        <v>3353</v>
      </c>
      <c r="F567" s="16" t="s">
        <v>3353</v>
      </c>
      <c r="G567" s="16" t="str">
        <f>_xlfn.XLOOKUP( C567,RAW_DATA!B:B, RAW_DATA!Q:Q, "NOT FOUND" )</f>
        <v>2-s2.0-85128047707</v>
      </c>
      <c r="H567" s="1" t="b">
        <f t="shared" si="4"/>
        <v>0</v>
      </c>
      <c r="I567" s="1" t="b">
        <f t="shared" si="5"/>
        <v>0</v>
      </c>
    </row>
    <row r="568" spans="1:9" ht="15.75" customHeight="1">
      <c r="A568" s="14"/>
      <c r="B568" s="15" t="s">
        <v>3171</v>
      </c>
      <c r="C568" s="15" t="s">
        <v>3172</v>
      </c>
      <c r="D568" s="16"/>
      <c r="E568" s="16" t="s">
        <v>3353</v>
      </c>
      <c r="F568" s="16" t="s">
        <v>3353</v>
      </c>
      <c r="G568" s="16" t="str">
        <f>_xlfn.XLOOKUP( C568,RAW_DATA!B:B, RAW_DATA!Q:Q, "NOT FOUND" )</f>
        <v>2-s2.0-85146440278</v>
      </c>
      <c r="H568" s="1" t="b">
        <f t="shared" si="4"/>
        <v>0</v>
      </c>
      <c r="I568" s="1" t="b">
        <f t="shared" si="5"/>
        <v>0</v>
      </c>
    </row>
    <row r="569" spans="1:9" ht="15.75" customHeight="1">
      <c r="A569" s="14"/>
      <c r="B569" s="15" t="s">
        <v>3176</v>
      </c>
      <c r="C569" s="15" t="s">
        <v>3177</v>
      </c>
      <c r="D569" s="16"/>
      <c r="E569" s="16" t="s">
        <v>3352</v>
      </c>
      <c r="F569" s="16" t="s">
        <v>3353</v>
      </c>
      <c r="G569" s="16" t="str">
        <f>_xlfn.XLOOKUP( C569,RAW_DATA!B:B, RAW_DATA!Q:Q, "NOT FOUND" )</f>
        <v>2-s2.0-85109067049</v>
      </c>
      <c r="H569" s="1" t="b">
        <f t="shared" si="4"/>
        <v>0</v>
      </c>
      <c r="I569" s="1" t="b">
        <f t="shared" si="5"/>
        <v>0</v>
      </c>
    </row>
    <row r="570" spans="1:9" ht="15.75" customHeight="1">
      <c r="A570" s="14"/>
      <c r="B570" s="15" t="s">
        <v>3181</v>
      </c>
      <c r="C570" s="15" t="s">
        <v>3182</v>
      </c>
      <c r="D570" s="16"/>
      <c r="E570" s="16" t="s">
        <v>3353</v>
      </c>
      <c r="F570" s="16" t="s">
        <v>3353</v>
      </c>
      <c r="G570" s="16" t="str">
        <f>_xlfn.XLOOKUP( C570,RAW_DATA!B:B, RAW_DATA!Q:Q, "NOT FOUND" )</f>
        <v>2-s2.0-85094318140</v>
      </c>
      <c r="H570" s="1" t="b">
        <f t="shared" si="4"/>
        <v>0</v>
      </c>
      <c r="I570" s="1" t="b">
        <f t="shared" si="5"/>
        <v>0</v>
      </c>
    </row>
    <row r="571" spans="1:9" ht="15.75" customHeight="1">
      <c r="A571" s="14"/>
      <c r="B571" s="15" t="s">
        <v>3186</v>
      </c>
      <c r="C571" s="15" t="s">
        <v>3187</v>
      </c>
      <c r="D571" s="16"/>
      <c r="E571" s="16" t="s">
        <v>3353</v>
      </c>
      <c r="F571" s="16" t="s">
        <v>3353</v>
      </c>
      <c r="G571" s="16" t="str">
        <f>_xlfn.XLOOKUP( C571,RAW_DATA!B:B, RAW_DATA!Q:Q, "NOT FOUND" )</f>
        <v>2-s2.0-84943553705</v>
      </c>
      <c r="H571" s="1" t="b">
        <f t="shared" si="4"/>
        <v>0</v>
      </c>
      <c r="I571" s="1" t="b">
        <f t="shared" si="5"/>
        <v>0</v>
      </c>
    </row>
    <row r="572" spans="1:9" ht="15.75" customHeight="1">
      <c r="A572" s="14"/>
      <c r="B572" s="15" t="s">
        <v>3192</v>
      </c>
      <c r="C572" s="15" t="s">
        <v>3193</v>
      </c>
      <c r="D572" s="16"/>
      <c r="E572" s="16" t="s">
        <v>3353</v>
      </c>
      <c r="F572" s="16" t="s">
        <v>3353</v>
      </c>
      <c r="G572" s="16" t="str">
        <f>_xlfn.XLOOKUP( C572,RAW_DATA!B:B, RAW_DATA!Q:Q, "NOT FOUND" )</f>
        <v>2-s2.0-84943368855</v>
      </c>
      <c r="H572" s="1" t="b">
        <f t="shared" si="4"/>
        <v>0</v>
      </c>
      <c r="I572" s="1" t="b">
        <f t="shared" si="5"/>
        <v>0</v>
      </c>
    </row>
    <row r="573" spans="1:9" ht="15.75" customHeight="1">
      <c r="A573" s="14"/>
      <c r="B573" s="15" t="s">
        <v>3197</v>
      </c>
      <c r="C573" s="15" t="s">
        <v>3198</v>
      </c>
      <c r="D573" s="16"/>
      <c r="E573" s="16" t="s">
        <v>3353</v>
      </c>
      <c r="F573" s="16" t="s">
        <v>3353</v>
      </c>
      <c r="G573" s="16" t="str">
        <f>_xlfn.XLOOKUP( C573,RAW_DATA!B:B, RAW_DATA!Q:Q, "NOT FOUND" )</f>
        <v>2-s2.0-84978352459</v>
      </c>
      <c r="H573" s="1" t="b">
        <f t="shared" si="4"/>
        <v>0</v>
      </c>
      <c r="I573" s="1" t="b">
        <f t="shared" si="5"/>
        <v>0</v>
      </c>
    </row>
    <row r="574" spans="1:9" ht="15.75" customHeight="1">
      <c r="A574" s="14"/>
      <c r="B574" s="15" t="s">
        <v>628</v>
      </c>
      <c r="C574" s="15" t="s">
        <v>3204</v>
      </c>
      <c r="D574" s="16"/>
      <c r="E574" s="16" t="s">
        <v>3353</v>
      </c>
      <c r="F574" s="16" t="s">
        <v>3353</v>
      </c>
      <c r="G574" s="16" t="str">
        <f>_xlfn.XLOOKUP( C574,RAW_DATA!B:B, RAW_DATA!Q:Q, "NOT FOUND" )</f>
        <v>2-s2.0-84924747968</v>
      </c>
      <c r="H574" s="1" t="b">
        <f t="shared" si="4"/>
        <v>0</v>
      </c>
      <c r="I574" s="1" t="b">
        <f t="shared" si="5"/>
        <v>0</v>
      </c>
    </row>
    <row r="575" spans="1:9" ht="15.75" customHeight="1">
      <c r="A575" s="14"/>
      <c r="B575" s="15" t="s">
        <v>3208</v>
      </c>
      <c r="C575" s="15" t="s">
        <v>3209</v>
      </c>
      <c r="D575" s="16"/>
      <c r="E575" s="16" t="s">
        <v>3353</v>
      </c>
      <c r="F575" s="16" t="s">
        <v>3353</v>
      </c>
      <c r="G575" s="16" t="str">
        <f>_xlfn.XLOOKUP( C575,RAW_DATA!B:B, RAW_DATA!Q:Q, "NOT FOUND" )</f>
        <v>2-s2.0-84939637881</v>
      </c>
      <c r="H575" s="1" t="b">
        <f t="shared" si="4"/>
        <v>0</v>
      </c>
      <c r="I575" s="1" t="b">
        <f t="shared" si="5"/>
        <v>0</v>
      </c>
    </row>
    <row r="576" spans="1:9" ht="15.75" customHeight="1">
      <c r="A576" s="14"/>
      <c r="B576" s="15" t="s">
        <v>3214</v>
      </c>
      <c r="C576" s="15" t="s">
        <v>3215</v>
      </c>
      <c r="D576" s="16"/>
      <c r="E576" s="16" t="s">
        <v>3353</v>
      </c>
      <c r="F576" s="16" t="s">
        <v>3353</v>
      </c>
      <c r="G576" s="16" t="str">
        <f>_xlfn.XLOOKUP( C576,RAW_DATA!B:B, RAW_DATA!Q:Q, "NOT FOUND" )</f>
        <v>2-s2.0-85040866760</v>
      </c>
      <c r="H576" s="1" t="b">
        <f t="shared" si="4"/>
        <v>0</v>
      </c>
      <c r="I576" s="1" t="b">
        <f t="shared" si="5"/>
        <v>0</v>
      </c>
    </row>
    <row r="577" spans="1:9" ht="15.75" customHeight="1">
      <c r="A577" s="14"/>
      <c r="B577" s="15" t="s">
        <v>3220</v>
      </c>
      <c r="C577" s="15" t="s">
        <v>3221</v>
      </c>
      <c r="D577" s="16"/>
      <c r="E577" s="16" t="s">
        <v>3353</v>
      </c>
      <c r="F577" s="16" t="s">
        <v>3353</v>
      </c>
      <c r="G577" s="16" t="str">
        <f>_xlfn.XLOOKUP( C577,RAW_DATA!B:B, RAW_DATA!Q:Q, "NOT FOUND" )</f>
        <v>2-s2.0-85125982040</v>
      </c>
      <c r="H577" s="1" t="b">
        <f t="shared" si="4"/>
        <v>0</v>
      </c>
      <c r="I577" s="1" t="b">
        <f t="shared" si="5"/>
        <v>0</v>
      </c>
    </row>
    <row r="578" spans="1:9" ht="15.75" customHeight="1">
      <c r="A578" s="14"/>
      <c r="B578" s="15" t="s">
        <v>3226</v>
      </c>
      <c r="C578" s="15" t="s">
        <v>3227</v>
      </c>
      <c r="D578" s="16"/>
      <c r="E578" s="16" t="s">
        <v>3353</v>
      </c>
      <c r="F578" s="16" t="s">
        <v>3353</v>
      </c>
      <c r="G578" s="16" t="str">
        <f>_xlfn.XLOOKUP( C578,RAW_DATA!B:B, RAW_DATA!Q:Q, "NOT FOUND" )</f>
        <v>2-s2.0-84978205654</v>
      </c>
      <c r="H578" s="1" t="b">
        <f t="shared" si="4"/>
        <v>0</v>
      </c>
      <c r="I578" s="1" t="b">
        <f t="shared" si="5"/>
        <v>0</v>
      </c>
    </row>
    <row r="579" spans="1:9" ht="15.75" customHeight="1">
      <c r="A579" s="14"/>
      <c r="B579" s="15" t="s">
        <v>3232</v>
      </c>
      <c r="C579" s="15" t="s">
        <v>3233</v>
      </c>
      <c r="D579" s="16"/>
      <c r="E579" s="16" t="s">
        <v>3353</v>
      </c>
      <c r="F579" s="16" t="s">
        <v>3353</v>
      </c>
      <c r="G579" s="16" t="str">
        <f>_xlfn.XLOOKUP( C579,RAW_DATA!B:B, RAW_DATA!Q:Q, "NOT FOUND" )</f>
        <v>2-s2.0-85051760500</v>
      </c>
      <c r="H579" s="1" t="b">
        <f t="shared" si="4"/>
        <v>0</v>
      </c>
      <c r="I579" s="1" t="b">
        <f t="shared" si="5"/>
        <v>0</v>
      </c>
    </row>
    <row r="580" spans="1:9" ht="15.75" customHeight="1">
      <c r="A580" s="14"/>
      <c r="B580" s="15" t="s">
        <v>3238</v>
      </c>
      <c r="C580" s="15" t="s">
        <v>3239</v>
      </c>
      <c r="D580" s="16"/>
      <c r="E580" s="16" t="s">
        <v>3353</v>
      </c>
      <c r="F580" s="16" t="s">
        <v>3353</v>
      </c>
      <c r="G580" s="16" t="str">
        <f>_xlfn.XLOOKUP( C580,RAW_DATA!B:B, RAW_DATA!Q:Q, "NOT FOUND" )</f>
        <v>2-s2.0-84966298456</v>
      </c>
      <c r="H580" s="1" t="b">
        <f t="shared" si="4"/>
        <v>0</v>
      </c>
      <c r="I580" s="1" t="b">
        <f t="shared" si="5"/>
        <v>0</v>
      </c>
    </row>
    <row r="581" spans="1:9" ht="15.75" customHeight="1">
      <c r="A581" s="14"/>
      <c r="B581" s="15" t="s">
        <v>3244</v>
      </c>
      <c r="C581" s="15" t="s">
        <v>3245</v>
      </c>
      <c r="D581" s="16"/>
      <c r="E581" s="16" t="s">
        <v>3353</v>
      </c>
      <c r="F581" s="16" t="s">
        <v>3353</v>
      </c>
      <c r="G581" s="16" t="str">
        <f>_xlfn.XLOOKUP( C581,RAW_DATA!B:B, RAW_DATA!Q:Q, "NOT FOUND" )</f>
        <v>2-s2.0-84928311805</v>
      </c>
      <c r="H581" s="1" t="b">
        <f t="shared" si="4"/>
        <v>0</v>
      </c>
      <c r="I581" s="1" t="b">
        <f t="shared" si="5"/>
        <v>0</v>
      </c>
    </row>
    <row r="582" spans="1:9" ht="15.75" customHeight="1">
      <c r="A582" s="14"/>
      <c r="B582" s="15" t="s">
        <v>747</v>
      </c>
      <c r="C582" s="15" t="s">
        <v>3339</v>
      </c>
      <c r="D582" s="16"/>
      <c r="E582" s="16" t="s">
        <v>3353</v>
      </c>
      <c r="F582" s="16" t="s">
        <v>3353</v>
      </c>
      <c r="G582" s="16" t="str">
        <f>_xlfn.XLOOKUP( C582,RAW_DATA!B:B, RAW_DATA!Q:Q, "NOT FOUND" )</f>
        <v>2-s2.0-85119340593</v>
      </c>
      <c r="H582" s="1" t="b">
        <f t="shared" si="4"/>
        <v>0</v>
      </c>
      <c r="I582" s="1" t="b">
        <f t="shared" si="5"/>
        <v>0</v>
      </c>
    </row>
    <row r="583" spans="1:9" ht="15.75" customHeight="1">
      <c r="A583" s="14"/>
      <c r="B583" s="15" t="s">
        <v>3249</v>
      </c>
      <c r="C583" s="15" t="s">
        <v>3250</v>
      </c>
      <c r="D583" s="16"/>
      <c r="E583" s="16" t="s">
        <v>3353</v>
      </c>
      <c r="F583" s="16" t="s">
        <v>3353</v>
      </c>
      <c r="G583" s="16" t="str">
        <f>_xlfn.XLOOKUP( C583,RAW_DATA!B:B, RAW_DATA!Q:Q, "NOT FOUND" )</f>
        <v>2-s2.0-84945919302</v>
      </c>
      <c r="H583" s="1" t="b">
        <f t="shared" si="4"/>
        <v>0</v>
      </c>
      <c r="I583" s="1" t="b">
        <f t="shared" si="5"/>
        <v>0</v>
      </c>
    </row>
    <row r="584" spans="1:9" ht="15.75" customHeight="1">
      <c r="A584" s="14"/>
      <c r="B584" s="15" t="s">
        <v>3254</v>
      </c>
      <c r="C584" s="15" t="s">
        <v>3255</v>
      </c>
      <c r="D584" s="16"/>
      <c r="E584" s="16" t="s">
        <v>3353</v>
      </c>
      <c r="F584" s="16" t="s">
        <v>3353</v>
      </c>
      <c r="G584" s="16" t="str">
        <f>_xlfn.XLOOKUP( C584,RAW_DATA!B:B, RAW_DATA!Q:Q, "NOT FOUND" )</f>
        <v>2-s2.0-84922538237</v>
      </c>
      <c r="H584" s="1" t="b">
        <f t="shared" si="4"/>
        <v>0</v>
      </c>
      <c r="I584" s="1" t="b">
        <f t="shared" si="5"/>
        <v>0</v>
      </c>
    </row>
    <row r="585" spans="1:9" ht="15.75" customHeight="1">
      <c r="A585" s="14"/>
      <c r="B585" s="15" t="s">
        <v>3259</v>
      </c>
      <c r="C585" s="15" t="s">
        <v>3260</v>
      </c>
      <c r="D585" s="16"/>
      <c r="E585" s="16" t="s">
        <v>3353</v>
      </c>
      <c r="F585" s="16" t="s">
        <v>3353</v>
      </c>
      <c r="G585" s="16" t="str">
        <f>_xlfn.XLOOKUP( C585,RAW_DATA!B:B, RAW_DATA!Q:Q, "NOT FOUND" )</f>
        <v>2-s2.0-84945279836</v>
      </c>
      <c r="H585" s="1" t="b">
        <f t="shared" si="4"/>
        <v>0</v>
      </c>
      <c r="I585" s="1" t="b">
        <f t="shared" si="5"/>
        <v>0</v>
      </c>
    </row>
    <row r="586" spans="1:9" ht="15.75" customHeight="1">
      <c r="A586" s="14"/>
      <c r="B586" s="15" t="s">
        <v>3265</v>
      </c>
      <c r="C586" s="15" t="s">
        <v>3266</v>
      </c>
      <c r="D586" s="16"/>
      <c r="E586" s="16" t="s">
        <v>3353</v>
      </c>
      <c r="F586" s="16" t="s">
        <v>3353</v>
      </c>
      <c r="G586" s="16" t="str">
        <f>_xlfn.XLOOKUP( C586,RAW_DATA!B:B, RAW_DATA!Q:Q, "NOT FOUND" )</f>
        <v>2-s2.0-85069530134</v>
      </c>
      <c r="H586" s="1" t="b">
        <f t="shared" si="4"/>
        <v>0</v>
      </c>
      <c r="I586" s="1" t="b">
        <f t="shared" si="5"/>
        <v>0</v>
      </c>
    </row>
    <row r="587" spans="1:9" ht="15.75" customHeight="1">
      <c r="A587" s="14"/>
      <c r="B587" s="15" t="s">
        <v>3270</v>
      </c>
      <c r="C587" s="15" t="s">
        <v>3271</v>
      </c>
      <c r="D587" s="16"/>
      <c r="E587" s="16" t="s">
        <v>3353</v>
      </c>
      <c r="F587" s="16" t="s">
        <v>3353</v>
      </c>
      <c r="G587" s="16" t="str">
        <f>_xlfn.XLOOKUP( C587,RAW_DATA!B:B, RAW_DATA!Q:Q, "NOT FOUND" )</f>
        <v>2-s2.0-85090173628</v>
      </c>
      <c r="H587" s="1" t="b">
        <f t="shared" si="4"/>
        <v>0</v>
      </c>
      <c r="I587" s="1" t="b">
        <f t="shared" si="5"/>
        <v>0</v>
      </c>
    </row>
    <row r="588" spans="1:9" ht="15.75" customHeight="1">
      <c r="A588" s="14"/>
      <c r="B588" s="15" t="s">
        <v>3277</v>
      </c>
      <c r="C588" s="15" t="s">
        <v>3278</v>
      </c>
      <c r="D588" s="16"/>
      <c r="E588" s="16" t="s">
        <v>3353</v>
      </c>
      <c r="F588" s="16" t="s">
        <v>3353</v>
      </c>
      <c r="G588" s="16" t="str">
        <f>_xlfn.XLOOKUP( C588,RAW_DATA!B:B, RAW_DATA!Q:Q, "NOT FOUND" )</f>
        <v>2-s2.0-84945896560</v>
      </c>
      <c r="H588" s="1" t="b">
        <f t="shared" si="4"/>
        <v>0</v>
      </c>
      <c r="I588" s="1" t="b">
        <f t="shared" si="5"/>
        <v>0</v>
      </c>
    </row>
    <row r="589" spans="1:9" ht="15.75" customHeight="1">
      <c r="A589" s="14"/>
      <c r="B589" s="15" t="s">
        <v>3282</v>
      </c>
      <c r="C589" s="15" t="s">
        <v>3283</v>
      </c>
      <c r="D589" s="16"/>
      <c r="E589" s="16" t="s">
        <v>3353</v>
      </c>
      <c r="F589" s="16" t="s">
        <v>3353</v>
      </c>
      <c r="G589" s="16" t="str">
        <f>_xlfn.XLOOKUP( C589,RAW_DATA!B:B, RAW_DATA!Q:Q, "NOT FOUND" )</f>
        <v>2-s2.0-84937866936</v>
      </c>
      <c r="H589" s="1" t="b">
        <f t="shared" si="4"/>
        <v>0</v>
      </c>
      <c r="I589" s="1" t="b">
        <f t="shared" si="5"/>
        <v>0</v>
      </c>
    </row>
    <row r="590" spans="1:9" ht="15.75" customHeight="1">
      <c r="A590" s="14"/>
      <c r="B590" s="15" t="s">
        <v>3287</v>
      </c>
      <c r="C590" s="15" t="s">
        <v>3288</v>
      </c>
      <c r="D590" s="16"/>
      <c r="E590" s="16" t="s">
        <v>3353</v>
      </c>
      <c r="F590" s="16" t="s">
        <v>3353</v>
      </c>
      <c r="G590" s="16" t="str">
        <f>_xlfn.XLOOKUP( C590,RAW_DATA!B:B, RAW_DATA!Q:Q, "NOT FOUND" )</f>
        <v>2-s2.0-84943522688</v>
      </c>
      <c r="H590" s="1" t="b">
        <f t="shared" si="4"/>
        <v>0</v>
      </c>
      <c r="I590" s="1" t="b">
        <f t="shared" si="5"/>
        <v>0</v>
      </c>
    </row>
    <row r="591" spans="1:9" ht="15.75" customHeight="1">
      <c r="A591" s="14"/>
      <c r="B591" s="15" t="s">
        <v>3292</v>
      </c>
      <c r="C591" s="15" t="s">
        <v>3293</v>
      </c>
      <c r="D591" s="16"/>
      <c r="E591" s="16" t="s">
        <v>3353</v>
      </c>
      <c r="F591" s="16" t="s">
        <v>3353</v>
      </c>
      <c r="G591" s="16" t="str">
        <f>_xlfn.XLOOKUP( C591,RAW_DATA!B:B, RAW_DATA!Q:Q, "NOT FOUND" )</f>
        <v>2-s2.0-85090170198</v>
      </c>
      <c r="H591" s="1" t="b">
        <f t="shared" si="4"/>
        <v>0</v>
      </c>
      <c r="I591" s="1" t="b">
        <f t="shared" si="5"/>
        <v>0</v>
      </c>
    </row>
    <row r="592" spans="1:9" ht="15.75" customHeight="1">
      <c r="A592" s="14"/>
      <c r="B592" s="15" t="s">
        <v>3297</v>
      </c>
      <c r="C592" s="15" t="s">
        <v>3298</v>
      </c>
      <c r="D592" s="16"/>
      <c r="E592" s="16" t="s">
        <v>3353</v>
      </c>
      <c r="F592" s="16" t="s">
        <v>3353</v>
      </c>
      <c r="G592" s="16" t="str">
        <f>_xlfn.XLOOKUP( C592,RAW_DATA!B:B, RAW_DATA!Q:Q, "NOT FOUND" )</f>
        <v>2-s2.0-84943386354</v>
      </c>
      <c r="H592" s="1" t="b">
        <f t="shared" si="4"/>
        <v>0</v>
      </c>
      <c r="I592" s="1" t="b">
        <f t="shared" si="5"/>
        <v>0</v>
      </c>
    </row>
    <row r="593" spans="1:9" ht="15.75" customHeight="1">
      <c r="A593" s="14"/>
      <c r="B593" s="15" t="s">
        <v>3302</v>
      </c>
      <c r="C593" s="15" t="s">
        <v>3303</v>
      </c>
      <c r="D593" s="16"/>
      <c r="E593" s="16" t="s">
        <v>3353</v>
      </c>
      <c r="F593" s="16" t="s">
        <v>3353</v>
      </c>
      <c r="G593" s="16" t="str">
        <f>_xlfn.XLOOKUP( C593,RAW_DATA!B:B, RAW_DATA!Q:Q, "NOT FOUND" )</f>
        <v>2-s2.0-85022328081</v>
      </c>
      <c r="H593" s="1" t="b">
        <f t="shared" si="4"/>
        <v>0</v>
      </c>
      <c r="I593" s="1" t="b">
        <f t="shared" si="5"/>
        <v>0</v>
      </c>
    </row>
    <row r="594" spans="1:9" ht="15.75" customHeight="1">
      <c r="A594" s="14"/>
      <c r="B594" s="15" t="s">
        <v>3307</v>
      </c>
      <c r="C594" s="15" t="s">
        <v>3308</v>
      </c>
      <c r="D594" s="16"/>
      <c r="E594" s="16" t="s">
        <v>3353</v>
      </c>
      <c r="F594" s="16" t="s">
        <v>3353</v>
      </c>
      <c r="G594" s="16" t="str">
        <f>_xlfn.XLOOKUP( C594,RAW_DATA!B:B, RAW_DATA!Q:Q, "NOT FOUND" )</f>
        <v>2-s2.0-84951054847</v>
      </c>
      <c r="H594" s="1" t="b">
        <f t="shared" si="4"/>
        <v>0</v>
      </c>
      <c r="I594" s="1" t="b">
        <f t="shared" si="5"/>
        <v>0</v>
      </c>
    </row>
    <row r="595" spans="1:9" ht="15.75" customHeight="1">
      <c r="A595" s="14"/>
      <c r="B595" s="15" t="s">
        <v>628</v>
      </c>
      <c r="C595" s="15" t="s">
        <v>3313</v>
      </c>
      <c r="D595" s="16"/>
      <c r="E595" s="16" t="s">
        <v>3353</v>
      </c>
      <c r="F595" s="16" t="s">
        <v>3353</v>
      </c>
      <c r="G595" s="16" t="str">
        <f>_xlfn.XLOOKUP( C595,RAW_DATA!B:B, RAW_DATA!Q:Q, "NOT FOUND" )</f>
        <v>2-s2.0-85148144773</v>
      </c>
      <c r="H595" s="1" t="b">
        <f t="shared" si="4"/>
        <v>0</v>
      </c>
      <c r="I595" s="1" t="b">
        <f t="shared" si="5"/>
        <v>0</v>
      </c>
    </row>
    <row r="596" spans="1:9" ht="15.75" customHeight="1">
      <c r="A596" s="14"/>
      <c r="B596" s="15" t="s">
        <v>3318</v>
      </c>
      <c r="C596" s="15" t="s">
        <v>3319</v>
      </c>
      <c r="D596" s="16"/>
      <c r="E596" s="16" t="s">
        <v>3353</v>
      </c>
      <c r="F596" s="16" t="s">
        <v>3353</v>
      </c>
      <c r="G596" s="16" t="str">
        <f>_xlfn.XLOOKUP( C596,RAW_DATA!B:B, RAW_DATA!Q:Q, "NOT FOUND" )</f>
        <v>2-s2.0-84966783571</v>
      </c>
      <c r="H596" s="1" t="b">
        <f t="shared" si="4"/>
        <v>0</v>
      </c>
      <c r="I596" s="1" t="b">
        <f t="shared" si="5"/>
        <v>0</v>
      </c>
    </row>
    <row r="597" spans="1:9" ht="15.75" customHeight="1">
      <c r="A597" s="14"/>
      <c r="B597" s="15" t="s">
        <v>3323</v>
      </c>
      <c r="C597" s="15" t="s">
        <v>3324</v>
      </c>
      <c r="D597" s="16"/>
      <c r="E597" s="16" t="s">
        <v>3353</v>
      </c>
      <c r="F597" s="16" t="s">
        <v>3353</v>
      </c>
      <c r="G597" s="16" t="str">
        <f>_xlfn.XLOOKUP( C597,RAW_DATA!B:B, RAW_DATA!Q:Q, "NOT FOUND" )</f>
        <v>2-s2.0-105029240368</v>
      </c>
      <c r="H597" s="1" t="b">
        <f t="shared" si="4"/>
        <v>0</v>
      </c>
      <c r="I597" s="1" t="b">
        <f t="shared" si="5"/>
        <v>0</v>
      </c>
    </row>
    <row r="598" spans="1:9" ht="15.75" customHeight="1">
      <c r="A598" s="14"/>
      <c r="B598" s="15" t="s">
        <v>3328</v>
      </c>
      <c r="C598" s="15" t="s">
        <v>3329</v>
      </c>
      <c r="D598" s="16"/>
      <c r="E598" s="16" t="s">
        <v>3353</v>
      </c>
      <c r="F598" s="16" t="s">
        <v>3353</v>
      </c>
      <c r="G598" s="16" t="str">
        <f>_xlfn.XLOOKUP( C598,RAW_DATA!B:B, RAW_DATA!Q:Q, "NOT FOUND" )</f>
        <v>2-s2.0-84937933060</v>
      </c>
      <c r="H598" s="1" t="b">
        <f t="shared" si="4"/>
        <v>0</v>
      </c>
      <c r="I598" s="1" t="b">
        <f t="shared" si="5"/>
        <v>0</v>
      </c>
    </row>
    <row r="599" spans="1:9" ht="15.75" customHeight="1">
      <c r="A599" s="14"/>
      <c r="B599" s="15" t="s">
        <v>1222</v>
      </c>
      <c r="C599" s="15" t="s">
        <v>3333</v>
      </c>
      <c r="D599" s="16"/>
      <c r="E599" s="16" t="s">
        <v>3353</v>
      </c>
      <c r="F599" s="16" t="s">
        <v>3353</v>
      </c>
      <c r="G599" s="16" t="str">
        <f>_xlfn.XLOOKUP( C599,RAW_DATA!B:B, RAW_DATA!Q:Q, "NOT FOUND" )</f>
        <v>2-s2.0-84983651728</v>
      </c>
      <c r="H599" s="1" t="b">
        <f t="shared" si="4"/>
        <v>0</v>
      </c>
      <c r="I599" s="1" t="b">
        <f t="shared" si="5"/>
        <v>0</v>
      </c>
    </row>
    <row r="600" spans="1:9" ht="15.75" customHeight="1">
      <c r="A600" s="14" t="s">
        <v>3406</v>
      </c>
      <c r="B600" s="15" t="s">
        <v>860</v>
      </c>
      <c r="C600" s="15" t="s">
        <v>861</v>
      </c>
      <c r="D600" s="16" t="s">
        <v>3355</v>
      </c>
      <c r="E600" s="16" t="s">
        <v>3352</v>
      </c>
      <c r="F600" s="16" t="s">
        <v>3352</v>
      </c>
      <c r="G600" s="16" t="str">
        <f>_xlfn.XLOOKUP( C600,RAW_DATA!B:B, RAW_DATA!Q:Q, "NOT FOUND" )</f>
        <v>2-s2.0-85111548576</v>
      </c>
      <c r="H600" s="1" t="b">
        <f t="shared" si="4"/>
        <v>0</v>
      </c>
      <c r="I600" s="1" t="b">
        <f t="shared" si="5"/>
        <v>0</v>
      </c>
    </row>
    <row r="601" spans="1:9" ht="15.75" customHeight="1">
      <c r="A601" s="14"/>
      <c r="B601" s="15"/>
      <c r="C601" s="15"/>
      <c r="D601" s="16"/>
      <c r="E601" s="16"/>
      <c r="F601" s="16"/>
      <c r="G601" s="16"/>
    </row>
    <row r="602" spans="1:9" ht="15.75" customHeight="1"/>
    <row r="603" spans="1:9" ht="15.75" customHeight="1"/>
    <row r="604" spans="1:9" ht="15.75" customHeight="1"/>
    <row r="605" spans="1:9" ht="15.75" customHeight="1"/>
    <row r="606" spans="1:9" ht="15.75" customHeight="1"/>
    <row r="607" spans="1:9" ht="15.75" customHeight="1"/>
    <row r="608" spans="1:9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A1:I600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G1000"/>
  <sheetViews>
    <sheetView workbookViewId="0">
      <selection activeCell="B51" sqref="B51"/>
    </sheetView>
  </sheetViews>
  <sheetFormatPr defaultColWidth="14.42578125" defaultRowHeight="15" customHeight="1"/>
  <cols>
    <col min="2" max="2" width="52.85546875" customWidth="1"/>
    <col min="3" max="3" width="32.85546875" customWidth="1"/>
    <col min="4" max="4" width="22" customWidth="1"/>
    <col min="5" max="5" width="20.85546875" customWidth="1"/>
    <col min="6" max="6" width="78.85546875" customWidth="1"/>
  </cols>
  <sheetData>
    <row r="1" spans="2:7" ht="15" customHeight="1">
      <c r="B1" s="10" t="s">
        <v>3345</v>
      </c>
      <c r="C1" s="10" t="s">
        <v>3407</v>
      </c>
      <c r="D1" s="10" t="s">
        <v>3408</v>
      </c>
      <c r="E1" s="10" t="s">
        <v>3409</v>
      </c>
      <c r="F1" s="10" t="s">
        <v>3410</v>
      </c>
      <c r="G1" s="13" t="s">
        <v>3411</v>
      </c>
    </row>
    <row r="2" spans="2:7">
      <c r="B2" s="14" t="s">
        <v>3370</v>
      </c>
      <c r="C2" s="14" t="s">
        <v>3412</v>
      </c>
      <c r="D2" s="14" t="s">
        <v>3413</v>
      </c>
      <c r="E2" s="14" t="s">
        <v>3414</v>
      </c>
      <c r="F2" s="20" t="s">
        <v>3415</v>
      </c>
      <c r="G2" s="21" t="str">
        <f>IF( COUNTIF( Papers!A:A,  B2 ) &gt; 0, "OK", "KO" )</f>
        <v>OK</v>
      </c>
    </row>
    <row r="3" spans="2:7">
      <c r="B3" s="14" t="s">
        <v>3363</v>
      </c>
      <c r="C3" s="14" t="s">
        <v>3414</v>
      </c>
      <c r="D3" s="14" t="s">
        <v>3413</v>
      </c>
      <c r="E3" s="14" t="s">
        <v>3414</v>
      </c>
      <c r="F3" s="20" t="s">
        <v>3416</v>
      </c>
      <c r="G3" s="21" t="str">
        <f>IF( COUNTIF( Papers!A:A,  B3 ) &gt; 0, "OK", "KO" )</f>
        <v>OK</v>
      </c>
    </row>
    <row r="4" spans="2:7">
      <c r="B4" s="14" t="s">
        <v>3372</v>
      </c>
      <c r="C4" s="14" t="s">
        <v>3417</v>
      </c>
      <c r="D4" s="14" t="s">
        <v>3413</v>
      </c>
      <c r="E4" s="14" t="s">
        <v>3418</v>
      </c>
      <c r="F4" s="20" t="s">
        <v>3419</v>
      </c>
      <c r="G4" s="21" t="str">
        <f>IF( COUNTIF( Papers!A:A,  B4 ) &gt; 0, "OK", "KO" )</f>
        <v>OK</v>
      </c>
    </row>
    <row r="5" spans="2:7">
      <c r="B5" s="14" t="s">
        <v>3390</v>
      </c>
      <c r="C5" s="14" t="s">
        <v>3420</v>
      </c>
      <c r="D5" s="14" t="s">
        <v>3413</v>
      </c>
      <c r="E5" s="14" t="s">
        <v>3421</v>
      </c>
      <c r="F5" s="20" t="s">
        <v>3422</v>
      </c>
      <c r="G5" s="21" t="str">
        <f>IF( COUNTIF( Papers!A:A,  B5 ) &gt; 0, "OK", "KO" )</f>
        <v>OK</v>
      </c>
    </row>
    <row r="6" spans="2:7">
      <c r="B6" s="14" t="s">
        <v>3390</v>
      </c>
      <c r="C6" s="14" t="s">
        <v>3423</v>
      </c>
      <c r="D6" s="14" t="s">
        <v>3413</v>
      </c>
      <c r="E6" s="14" t="s">
        <v>3421</v>
      </c>
      <c r="F6" s="20" t="s">
        <v>3424</v>
      </c>
      <c r="G6" s="21" t="str">
        <f>IF( COUNTIF( Papers!A:A,  B6 ) &gt; 0, "OK", "KO" )</f>
        <v>OK</v>
      </c>
    </row>
    <row r="7" spans="2:7">
      <c r="B7" s="14" t="s">
        <v>3399</v>
      </c>
      <c r="C7" s="14" t="s">
        <v>3428</v>
      </c>
      <c r="D7" s="14" t="s">
        <v>3413</v>
      </c>
      <c r="E7" s="14" t="s">
        <v>3429</v>
      </c>
      <c r="F7" s="20" t="s">
        <v>3430</v>
      </c>
      <c r="G7" s="21" t="str">
        <f>IF( COUNTIF( Papers!A:A,  B7 ) &gt; 0, "OK", "KO" )</f>
        <v>OK</v>
      </c>
    </row>
    <row r="8" spans="2:7">
      <c r="B8" s="14" t="s">
        <v>3384</v>
      </c>
      <c r="C8" s="14" t="s">
        <v>3513</v>
      </c>
      <c r="D8" s="14" t="s">
        <v>3413</v>
      </c>
      <c r="E8" s="14" t="s">
        <v>3514</v>
      </c>
      <c r="F8" s="20" t="s">
        <v>3515</v>
      </c>
      <c r="G8" s="21" t="str">
        <f>IF( COUNTIF( Papers!A:A,  B8 ) &gt; 0, "OK", "KO" )</f>
        <v>OK</v>
      </c>
    </row>
    <row r="9" spans="2:7">
      <c r="B9" s="14" t="s">
        <v>3375</v>
      </c>
      <c r="C9" s="14" t="s">
        <v>3517</v>
      </c>
      <c r="D9" s="14" t="s">
        <v>3413</v>
      </c>
      <c r="E9" s="14" t="s">
        <v>3429</v>
      </c>
      <c r="F9" s="20" t="s">
        <v>3518</v>
      </c>
      <c r="G9" s="21" t="str">
        <f>IF( COUNTIF( Papers!A:A,  B9 ) &gt; 0, "OK", "KO" )</f>
        <v>OK</v>
      </c>
    </row>
    <row r="10" spans="2:7">
      <c r="B10" s="14" t="s">
        <v>3369</v>
      </c>
      <c r="C10" s="14" t="s">
        <v>3431</v>
      </c>
      <c r="D10" s="14" t="s">
        <v>3432</v>
      </c>
      <c r="E10" s="14" t="s">
        <v>3433</v>
      </c>
      <c r="F10" s="20" t="s">
        <v>3434</v>
      </c>
      <c r="G10" s="21" t="str">
        <f>IF( COUNTIF( Papers!A:A,  B10 ) &gt; 0, "OK", "KO" )</f>
        <v>OK</v>
      </c>
    </row>
    <row r="11" spans="2:7">
      <c r="B11" s="14" t="s">
        <v>3370</v>
      </c>
      <c r="C11" s="14" t="s">
        <v>3435</v>
      </c>
      <c r="D11" s="14" t="s">
        <v>3432</v>
      </c>
      <c r="E11" s="14" t="s">
        <v>3436</v>
      </c>
      <c r="F11" s="20" t="s">
        <v>3437</v>
      </c>
      <c r="G11" s="21" t="str">
        <f>IF( COUNTIF( Papers!A:A,  B11 ) &gt; 0, "OK", "KO" )</f>
        <v>OK</v>
      </c>
    </row>
    <row r="12" spans="2:7">
      <c r="B12" s="14" t="s">
        <v>3372</v>
      </c>
      <c r="C12" s="14" t="s">
        <v>3435</v>
      </c>
      <c r="D12" s="14" t="s">
        <v>3432</v>
      </c>
      <c r="E12" s="14" t="s">
        <v>3436</v>
      </c>
      <c r="F12" s="20" t="s">
        <v>3437</v>
      </c>
      <c r="G12" s="21" t="str">
        <f>IF( COUNTIF( Papers!A:A,  B12 ) &gt; 0, "OK", "KO" )</f>
        <v>OK</v>
      </c>
    </row>
    <row r="13" spans="2:7">
      <c r="B13" s="14" t="s">
        <v>3356</v>
      </c>
      <c r="C13" s="14" t="s">
        <v>3438</v>
      </c>
      <c r="D13" s="14" t="s">
        <v>3432</v>
      </c>
      <c r="E13" s="14" t="s">
        <v>3439</v>
      </c>
      <c r="F13" s="20" t="s">
        <v>3440</v>
      </c>
      <c r="G13" s="21" t="str">
        <f>IF( COUNTIF( Papers!A:A,  B13 ) &gt; 0, "OK", "KO" )</f>
        <v>OK</v>
      </c>
    </row>
    <row r="14" spans="2:7">
      <c r="B14" s="14" t="s">
        <v>3371</v>
      </c>
      <c r="C14" s="14" t="s">
        <v>3441</v>
      </c>
      <c r="D14" s="14" t="s">
        <v>3432</v>
      </c>
      <c r="E14" s="14" t="s">
        <v>3439</v>
      </c>
      <c r="F14" s="22" t="s">
        <v>3442</v>
      </c>
      <c r="G14" s="21" t="str">
        <f>IF( COUNTIF( Papers!A:A,  B14 ) &gt; 0, "OK", "KO" )</f>
        <v>OK</v>
      </c>
    </row>
    <row r="15" spans="2:7">
      <c r="B15" s="14" t="s">
        <v>3368</v>
      </c>
      <c r="C15" s="14" t="s">
        <v>3556</v>
      </c>
      <c r="D15" s="14" t="s">
        <v>3432</v>
      </c>
      <c r="E15" s="14" t="s">
        <v>3439</v>
      </c>
      <c r="F15" s="20" t="s">
        <v>3443</v>
      </c>
      <c r="G15" s="21" t="str">
        <f>IF( COUNTIF( Papers!A:A,  B15 ) &gt; 0, "OK", "KO" )</f>
        <v>OK</v>
      </c>
    </row>
    <row r="16" spans="2:7">
      <c r="B16" s="14" t="s">
        <v>3385</v>
      </c>
      <c r="C16" s="14" t="s">
        <v>3444</v>
      </c>
      <c r="D16" s="14" t="s">
        <v>3432</v>
      </c>
      <c r="E16" s="14" t="s">
        <v>3439</v>
      </c>
      <c r="F16" s="20" t="s">
        <v>3445</v>
      </c>
      <c r="G16" s="21" t="str">
        <f>IF( COUNTIF( Papers!A:A,  B16 ) &gt; 0, "OK", "KO" )</f>
        <v>OK</v>
      </c>
    </row>
    <row r="17" spans="2:7">
      <c r="B17" s="14" t="s">
        <v>3406</v>
      </c>
      <c r="C17" s="14" t="s">
        <v>3444</v>
      </c>
      <c r="D17" s="14" t="s">
        <v>3432</v>
      </c>
      <c r="E17" s="14" t="s">
        <v>3439</v>
      </c>
      <c r="F17" s="20" t="s">
        <v>3445</v>
      </c>
      <c r="G17" s="21" t="str">
        <f>IF( COUNTIF( Papers!A:A,  B17 ) &gt; 0, "OK", "KO" )</f>
        <v>OK</v>
      </c>
    </row>
    <row r="18" spans="2:7" ht="30">
      <c r="B18" s="14" t="s">
        <v>3362</v>
      </c>
      <c r="C18" s="14" t="s">
        <v>3446</v>
      </c>
      <c r="D18" s="14" t="s">
        <v>3432</v>
      </c>
      <c r="E18" s="14" t="s">
        <v>3433</v>
      </c>
      <c r="F18" s="20" t="s">
        <v>3447</v>
      </c>
      <c r="G18" s="21" t="str">
        <f>IF( COUNTIF( Papers!A:A,  B18 ) &gt; 0, "OK", "KO" )</f>
        <v>OK</v>
      </c>
    </row>
    <row r="19" spans="2:7">
      <c r="B19" s="14" t="s">
        <v>3384</v>
      </c>
      <c r="C19" s="14" t="s">
        <v>3510</v>
      </c>
      <c r="D19" s="14" t="s">
        <v>3432</v>
      </c>
      <c r="E19" s="14" t="s">
        <v>3511</v>
      </c>
      <c r="F19" s="20" t="s">
        <v>3512</v>
      </c>
      <c r="G19" s="21" t="str">
        <f>IF( COUNTIF( Papers!A:A,  B19 ) &gt; 0, "OK", "KO" )</f>
        <v>OK</v>
      </c>
    </row>
    <row r="20" spans="2:7" ht="30">
      <c r="B20" s="14" t="s">
        <v>3375</v>
      </c>
      <c r="C20" s="14" t="s">
        <v>3435</v>
      </c>
      <c r="D20" s="14" t="s">
        <v>3432</v>
      </c>
      <c r="E20" s="14" t="s">
        <v>3436</v>
      </c>
      <c r="F20" s="20" t="s">
        <v>3516</v>
      </c>
      <c r="G20" s="21" t="str">
        <f>IF( COUNTIF( Papers!A:A,  B20 ) &gt; 0, "OK", "KO" )</f>
        <v>OK</v>
      </c>
    </row>
    <row r="21" spans="2:7">
      <c r="B21" s="14" t="s">
        <v>3376</v>
      </c>
      <c r="C21" s="14" t="s">
        <v>3522</v>
      </c>
      <c r="D21" s="14" t="s">
        <v>3432</v>
      </c>
      <c r="E21" s="14" t="s">
        <v>3439</v>
      </c>
      <c r="F21" s="20" t="s">
        <v>3523</v>
      </c>
      <c r="G21" s="21" t="str">
        <f>IF( COUNTIF( Papers!A:A,  B21 ) &gt; 0, "OK", "KO" )</f>
        <v>OK</v>
      </c>
    </row>
    <row r="22" spans="2:7">
      <c r="B22" s="14" t="s">
        <v>3401</v>
      </c>
      <c r="C22" s="14" t="s">
        <v>3448</v>
      </c>
      <c r="D22" s="14" t="s">
        <v>3449</v>
      </c>
      <c r="E22" s="14" t="s">
        <v>3450</v>
      </c>
      <c r="F22" s="20" t="s">
        <v>3451</v>
      </c>
      <c r="G22" s="21" t="str">
        <f>IF( COUNTIF( Papers!A:A,  B22 ) &gt; 0, "OK", "KO" )</f>
        <v>OK</v>
      </c>
    </row>
    <row r="23" spans="2:7">
      <c r="B23" s="14" t="s">
        <v>3360</v>
      </c>
      <c r="C23" s="14" t="s">
        <v>3452</v>
      </c>
      <c r="D23" s="14" t="s">
        <v>3449</v>
      </c>
      <c r="E23" s="14" t="s">
        <v>3450</v>
      </c>
      <c r="F23" s="20" t="s">
        <v>3453</v>
      </c>
      <c r="G23" s="21" t="str">
        <f>IF( COUNTIF( Papers!A:A,  B23 ) &gt; 0, "OK", "KO" )</f>
        <v>OK</v>
      </c>
    </row>
    <row r="24" spans="2:7">
      <c r="B24" s="14" t="s">
        <v>3381</v>
      </c>
      <c r="C24" s="14" t="s">
        <v>3454</v>
      </c>
      <c r="D24" s="14" t="s">
        <v>3449</v>
      </c>
      <c r="E24" s="14" t="s">
        <v>3450</v>
      </c>
      <c r="F24" s="20" t="s">
        <v>3455</v>
      </c>
      <c r="G24" s="21" t="str">
        <f>IF( COUNTIF( Papers!A:A,  B24 ) &gt; 0, "OK", "KO" )</f>
        <v>OK</v>
      </c>
    </row>
    <row r="25" spans="2:7">
      <c r="B25" s="14" t="s">
        <v>3371</v>
      </c>
      <c r="C25" s="14" t="s">
        <v>3459</v>
      </c>
      <c r="D25" s="14" t="s">
        <v>3449</v>
      </c>
      <c r="E25" s="14" t="s">
        <v>3457</v>
      </c>
      <c r="F25" s="20" t="s">
        <v>3460</v>
      </c>
      <c r="G25" s="21" t="str">
        <f>IF( COUNTIF( Papers!A:A,  B25 ) &gt; 0, "OK", "KO" )</f>
        <v>OK</v>
      </c>
    </row>
    <row r="26" spans="2:7">
      <c r="B26" s="14" t="s">
        <v>3358</v>
      </c>
      <c r="C26" s="14" t="s">
        <v>3461</v>
      </c>
      <c r="D26" s="14" t="s">
        <v>3449</v>
      </c>
      <c r="E26" s="14" t="s">
        <v>3457</v>
      </c>
      <c r="F26" s="20" t="s">
        <v>3462</v>
      </c>
      <c r="G26" s="21" t="str">
        <f>IF( COUNTIF( Papers!A:A,  B26 ) &gt; 0, "OK", "KO" )</f>
        <v>OK</v>
      </c>
    </row>
    <row r="27" spans="2:7">
      <c r="B27" s="14" t="s">
        <v>3384</v>
      </c>
      <c r="C27" s="14" t="s">
        <v>3452</v>
      </c>
      <c r="D27" s="14" t="s">
        <v>3449</v>
      </c>
      <c r="E27" s="14" t="s">
        <v>3450</v>
      </c>
      <c r="F27" s="20" t="s">
        <v>3508</v>
      </c>
      <c r="G27" s="21" t="str">
        <f>IF( COUNTIF( Papers!A:A,  B27 ) &gt; 0, "OK", "KO" )</f>
        <v>OK</v>
      </c>
    </row>
    <row r="28" spans="2:7">
      <c r="B28" s="14" t="s">
        <v>3384</v>
      </c>
      <c r="C28" s="14" t="s">
        <v>3456</v>
      </c>
      <c r="D28" s="14" t="s">
        <v>3449</v>
      </c>
      <c r="E28" s="14" t="s">
        <v>3457</v>
      </c>
      <c r="F28" s="20" t="s">
        <v>3509</v>
      </c>
      <c r="G28" s="21" t="str">
        <f>IF( COUNTIF( Papers!A:A,  B28 ) &gt; 0, "OK", "KO" )</f>
        <v>OK</v>
      </c>
    </row>
    <row r="29" spans="2:7" ht="30">
      <c r="B29" s="14" t="s">
        <v>3387</v>
      </c>
      <c r="C29" s="14" t="s">
        <v>3524</v>
      </c>
      <c r="D29" s="14" t="s">
        <v>3449</v>
      </c>
      <c r="E29" s="14" t="s">
        <v>3457</v>
      </c>
      <c r="F29" s="20" t="s">
        <v>3525</v>
      </c>
      <c r="G29" s="21" t="str">
        <f>IF( COUNTIF( Papers!A:A,  B29 ) &gt; 0, "OK", "KO" )</f>
        <v>OK</v>
      </c>
    </row>
    <row r="30" spans="2:7">
      <c r="B30" s="14" t="s">
        <v>3376</v>
      </c>
      <c r="C30" s="14" t="s">
        <v>3469</v>
      </c>
      <c r="D30" s="14" t="s">
        <v>3463</v>
      </c>
      <c r="E30" s="14" t="s">
        <v>3470</v>
      </c>
      <c r="F30" s="20" t="s">
        <v>3471</v>
      </c>
      <c r="G30" s="21" t="str">
        <f>IF( COUNTIF( Papers!A:A,  B30 ) &gt; 0, "OK", "KO" )</f>
        <v>OK</v>
      </c>
    </row>
    <row r="31" spans="2:7">
      <c r="B31" s="14" t="s">
        <v>3354</v>
      </c>
      <c r="C31" s="14" t="s">
        <v>3469</v>
      </c>
      <c r="D31" s="14" t="s">
        <v>3463</v>
      </c>
      <c r="E31" s="14" t="s">
        <v>3470</v>
      </c>
      <c r="F31" s="20" t="s">
        <v>3471</v>
      </c>
      <c r="G31" s="21" t="str">
        <f>IF( COUNTIF( Papers!A:A,  B31 ) &gt; 0, "OK", "KO" )</f>
        <v>OK</v>
      </c>
    </row>
    <row r="32" spans="2:7">
      <c r="B32" s="14" t="s">
        <v>3395</v>
      </c>
      <c r="C32" s="14" t="s">
        <v>3469</v>
      </c>
      <c r="D32" s="14" t="s">
        <v>3463</v>
      </c>
      <c r="E32" s="14" t="s">
        <v>3470</v>
      </c>
      <c r="F32" s="20" t="s">
        <v>3471</v>
      </c>
      <c r="G32" s="21" t="str">
        <f>IF( COUNTIF( Papers!A:A,  B32 ) &gt; 0, "OK", "KO" )</f>
        <v>OK</v>
      </c>
    </row>
    <row r="33" spans="2:7">
      <c r="B33" s="14" t="s">
        <v>3395</v>
      </c>
      <c r="C33" s="14" t="s">
        <v>3472</v>
      </c>
      <c r="D33" s="14" t="s">
        <v>3463</v>
      </c>
      <c r="E33" s="14" t="s">
        <v>3470</v>
      </c>
      <c r="F33" s="20" t="s">
        <v>3473</v>
      </c>
      <c r="G33" s="21" t="str">
        <f>IF( COUNTIF( Papers!A:A,  B33 ) &gt; 0, "OK", "KO" )</f>
        <v>OK</v>
      </c>
    </row>
    <row r="34" spans="2:7">
      <c r="B34" s="14" t="s">
        <v>3376</v>
      </c>
      <c r="C34" s="14" t="s">
        <v>3519</v>
      </c>
      <c r="D34" s="14" t="s">
        <v>3463</v>
      </c>
      <c r="E34" s="14" t="s">
        <v>3466</v>
      </c>
      <c r="F34" s="20" t="s">
        <v>3557</v>
      </c>
      <c r="G34" s="21" t="str">
        <f>IF( COUNTIF( Papers!A:A,  B34 ) &gt; 0, "OK", "KO" )</f>
        <v>OK</v>
      </c>
    </row>
    <row r="35" spans="2:7">
      <c r="B35" s="14" t="s">
        <v>3376</v>
      </c>
      <c r="C35" s="14" t="s">
        <v>3520</v>
      </c>
      <c r="D35" s="14" t="s">
        <v>3463</v>
      </c>
      <c r="E35" s="14" t="s">
        <v>3470</v>
      </c>
      <c r="F35" s="20" t="s">
        <v>3521</v>
      </c>
      <c r="G35" s="21" t="str">
        <f>IF( COUNTIF( Papers!A:A,  B35 ) &gt; 0, "OK", "KO" )</f>
        <v>OK</v>
      </c>
    </row>
    <row r="36" spans="2:7">
      <c r="B36" s="14" t="s">
        <v>3395</v>
      </c>
      <c r="C36" s="14" t="s">
        <v>3474</v>
      </c>
      <c r="D36" s="14" t="s">
        <v>3475</v>
      </c>
      <c r="E36" s="14" t="s">
        <v>3476</v>
      </c>
      <c r="F36" s="20" t="s">
        <v>3477</v>
      </c>
      <c r="G36" s="21" t="str">
        <f>IF( COUNTIF( Papers!A:A,  B36 ) &gt; 0, "OK", "KO" )</f>
        <v>OK</v>
      </c>
    </row>
    <row r="37" spans="2:7">
      <c r="B37" s="14" t="s">
        <v>3370</v>
      </c>
      <c r="C37" s="14" t="s">
        <v>3474</v>
      </c>
      <c r="D37" s="14" t="s">
        <v>3475</v>
      </c>
      <c r="E37" s="14" t="s">
        <v>3476</v>
      </c>
      <c r="F37" s="20" t="s">
        <v>3477</v>
      </c>
      <c r="G37" s="21" t="str">
        <f>IF( COUNTIF( Papers!A:A,  B37 ) &gt; 0, "OK", "KO" )</f>
        <v>OK</v>
      </c>
    </row>
    <row r="38" spans="2:7">
      <c r="B38" s="14" t="s">
        <v>3395</v>
      </c>
      <c r="C38" s="14" t="s">
        <v>3478</v>
      </c>
      <c r="D38" s="14" t="s">
        <v>3475</v>
      </c>
      <c r="E38" s="14" t="s">
        <v>3476</v>
      </c>
      <c r="F38" s="20" t="s">
        <v>3479</v>
      </c>
      <c r="G38" s="21" t="str">
        <f>IF( COUNTIF( Papers!A:A,  B38 ) &gt; 0, "OK", "KO" )</f>
        <v>OK</v>
      </c>
    </row>
    <row r="39" spans="2:7">
      <c r="B39" s="14" t="s">
        <v>3369</v>
      </c>
      <c r="C39" s="14" t="s">
        <v>3478</v>
      </c>
      <c r="D39" s="14" t="s">
        <v>3475</v>
      </c>
      <c r="E39" s="14" t="s">
        <v>3476</v>
      </c>
      <c r="F39" s="20" t="s">
        <v>3479</v>
      </c>
      <c r="G39" s="21" t="str">
        <f>IF( COUNTIF( Papers!A:A,  B39 ) &gt; 0, "OK", "KO" )</f>
        <v>OK</v>
      </c>
    </row>
    <row r="40" spans="2:7">
      <c r="B40" s="14" t="s">
        <v>3400</v>
      </c>
      <c r="C40" s="14" t="s">
        <v>3478</v>
      </c>
      <c r="D40" s="14" t="s">
        <v>3475</v>
      </c>
      <c r="E40" s="14" t="s">
        <v>3476</v>
      </c>
      <c r="F40" s="20" t="s">
        <v>3479</v>
      </c>
      <c r="G40" s="21" t="str">
        <f>IF( COUNTIF( Papers!A:A,  B40 ) &gt; 0, "OK", "KO" )</f>
        <v>OK</v>
      </c>
    </row>
    <row r="41" spans="2:7">
      <c r="B41" s="14" t="s">
        <v>3391</v>
      </c>
      <c r="C41" s="14" t="s">
        <v>3480</v>
      </c>
      <c r="D41" s="14" t="s">
        <v>3475</v>
      </c>
      <c r="E41" s="14" t="s">
        <v>3476</v>
      </c>
      <c r="F41" s="20" t="s">
        <v>3481</v>
      </c>
      <c r="G41" s="21" t="str">
        <f>IF( COUNTIF( Papers!A:A,  B41 ) &gt; 0, "OK", "KO" )</f>
        <v>OK</v>
      </c>
    </row>
    <row r="42" spans="2:7">
      <c r="B42" s="14" t="s">
        <v>3364</v>
      </c>
      <c r="C42" s="14" t="s">
        <v>3480</v>
      </c>
      <c r="D42" s="14" t="s">
        <v>3475</v>
      </c>
      <c r="E42" s="14" t="s">
        <v>3476</v>
      </c>
      <c r="F42" s="20" t="s">
        <v>3481</v>
      </c>
      <c r="G42" s="21" t="str">
        <f>IF( COUNTIF( Papers!A:A,  B42 ) &gt; 0, "OK", "KO" )</f>
        <v>OK</v>
      </c>
    </row>
    <row r="43" spans="2:7">
      <c r="B43" s="14" t="s">
        <v>3395</v>
      </c>
      <c r="C43" s="14" t="s">
        <v>3480</v>
      </c>
      <c r="D43" s="14" t="s">
        <v>3475</v>
      </c>
      <c r="E43" s="14" t="s">
        <v>3476</v>
      </c>
      <c r="F43" s="20" t="s">
        <v>3481</v>
      </c>
      <c r="G43" s="21" t="str">
        <f>IF( COUNTIF( Papers!A:A,  B43 ) &gt; 0, "OK", "KO" )</f>
        <v>OK</v>
      </c>
    </row>
    <row r="44" spans="2:7">
      <c r="B44" s="14" t="s">
        <v>3482</v>
      </c>
      <c r="C44" s="14" t="s">
        <v>3480</v>
      </c>
      <c r="D44" s="14" t="s">
        <v>3475</v>
      </c>
      <c r="E44" s="14" t="s">
        <v>3476</v>
      </c>
      <c r="F44" s="20" t="s">
        <v>3481</v>
      </c>
      <c r="G44" s="21" t="str">
        <f>IF( COUNTIF( Papers!A:A,  B44 ) &gt; 0, "OK", "KO" )</f>
        <v>OK</v>
      </c>
    </row>
    <row r="45" spans="2:7">
      <c r="B45" s="14" t="s">
        <v>3402</v>
      </c>
      <c r="C45" s="14" t="s">
        <v>3483</v>
      </c>
      <c r="D45" s="14" t="s">
        <v>3475</v>
      </c>
      <c r="E45" s="14" t="s">
        <v>3476</v>
      </c>
      <c r="F45" s="20" t="s">
        <v>3484</v>
      </c>
      <c r="G45" s="21" t="str">
        <f>IF( COUNTIF( Papers!A:A,  B45 ) &gt; 0, "OK", "KO" )</f>
        <v>OK</v>
      </c>
    </row>
    <row r="46" spans="2:7">
      <c r="B46" s="14" t="s">
        <v>3485</v>
      </c>
      <c r="C46" s="14" t="s">
        <v>3483</v>
      </c>
      <c r="D46" s="14" t="s">
        <v>3475</v>
      </c>
      <c r="E46" s="14" t="s">
        <v>3476</v>
      </c>
      <c r="F46" s="20" t="s">
        <v>3484</v>
      </c>
      <c r="G46" s="21" t="str">
        <f>IF( COUNTIF( Papers!A:A,  B46 ) &gt; 0, "OK", "KO" )</f>
        <v>OK</v>
      </c>
    </row>
    <row r="47" spans="2:7">
      <c r="B47" s="14" t="s">
        <v>3358</v>
      </c>
      <c r="C47" s="14" t="s">
        <v>3486</v>
      </c>
      <c r="D47" s="14" t="s">
        <v>3475</v>
      </c>
      <c r="E47" s="14" t="s">
        <v>3487</v>
      </c>
      <c r="F47" s="20" t="s">
        <v>3488</v>
      </c>
      <c r="G47" s="21" t="str">
        <f>IF( COUNTIF( Papers!A:A,  B47 ) &gt; 0, "OK", "KO" )</f>
        <v>OK</v>
      </c>
    </row>
    <row r="48" spans="2:7">
      <c r="B48" s="14" t="s">
        <v>3358</v>
      </c>
      <c r="C48" s="14" t="s">
        <v>3489</v>
      </c>
      <c r="D48" s="14" t="s">
        <v>3475</v>
      </c>
      <c r="E48" s="14" t="s">
        <v>3487</v>
      </c>
      <c r="F48" s="20" t="s">
        <v>3490</v>
      </c>
      <c r="G48" s="21" t="str">
        <f>IF( COUNTIF( Papers!A:A,  B48 ) &gt; 0, "OK", "KO" )</f>
        <v>OK</v>
      </c>
    </row>
    <row r="49" spans="2:7">
      <c r="B49" s="14" t="s">
        <v>3365</v>
      </c>
      <c r="C49" s="14" t="s">
        <v>3491</v>
      </c>
      <c r="D49" s="14" t="s">
        <v>3475</v>
      </c>
      <c r="E49" s="14" t="s">
        <v>3487</v>
      </c>
      <c r="F49" s="20" t="s">
        <v>3492</v>
      </c>
      <c r="G49" s="21" t="str">
        <f>IF( COUNTIF( Papers!A:A,  B49 ) &gt; 0, "OK", "KO" )</f>
        <v>OK</v>
      </c>
    </row>
    <row r="50" spans="2:7">
      <c r="B50" s="14" t="s">
        <v>3371</v>
      </c>
      <c r="C50" s="14" t="s">
        <v>3493</v>
      </c>
      <c r="D50" s="14" t="s">
        <v>3475</v>
      </c>
      <c r="E50" s="14" t="s">
        <v>3494</v>
      </c>
      <c r="F50" s="20" t="s">
        <v>3495</v>
      </c>
      <c r="G50" s="21" t="str">
        <f>IF( COUNTIF( Papers!A:A,  B50 ) &gt; 0, "OK", "KO" )</f>
        <v>OK</v>
      </c>
    </row>
    <row r="51" spans="2:7">
      <c r="B51" s="14" t="s">
        <v>3383</v>
      </c>
      <c r="C51" s="14" t="s">
        <v>3496</v>
      </c>
      <c r="D51" s="14" t="s">
        <v>3475</v>
      </c>
      <c r="E51" s="14" t="s">
        <v>3494</v>
      </c>
      <c r="F51" s="20" t="s">
        <v>3497</v>
      </c>
      <c r="G51" s="21" t="str">
        <f>IF( COUNTIF( Papers!A:A,  B51 ) &gt; 0, "OK", "KO" )</f>
        <v>OK</v>
      </c>
    </row>
    <row r="52" spans="2:7">
      <c r="B52" s="14" t="s">
        <v>3404</v>
      </c>
      <c r="C52" s="14" t="s">
        <v>3498</v>
      </c>
      <c r="D52" s="14" t="s">
        <v>3475</v>
      </c>
      <c r="E52" s="14" t="s">
        <v>3494</v>
      </c>
      <c r="F52" s="20" t="s">
        <v>3499</v>
      </c>
      <c r="G52" s="21" t="str">
        <f>IF( COUNTIF( Papers!A:A,  B52 ) &gt; 0, "OK", "KO" )</f>
        <v>OK</v>
      </c>
    </row>
    <row r="53" spans="2:7">
      <c r="B53" s="14" t="s">
        <v>3395</v>
      </c>
      <c r="C53" s="14" t="s">
        <v>3498</v>
      </c>
      <c r="D53" s="14" t="s">
        <v>3475</v>
      </c>
      <c r="E53" s="14" t="s">
        <v>3494</v>
      </c>
      <c r="F53" s="20" t="s">
        <v>3499</v>
      </c>
      <c r="G53" s="21" t="str">
        <f>IF( COUNTIF( Papers!A:A,  B53 ) &gt; 0, "OK", "KO" )</f>
        <v>OK</v>
      </c>
    </row>
    <row r="54" spans="2:7">
      <c r="B54" s="14" t="s">
        <v>3395</v>
      </c>
      <c r="C54" s="14" t="s">
        <v>3500</v>
      </c>
      <c r="D54" s="14" t="s">
        <v>3475</v>
      </c>
      <c r="E54" s="14" t="s">
        <v>3494</v>
      </c>
      <c r="F54" s="20" t="s">
        <v>3501</v>
      </c>
      <c r="G54" s="21" t="str">
        <f>IF( COUNTIF( Papers!A:A,  B54 ) &gt; 0, "OK", "KO" )</f>
        <v>OK</v>
      </c>
    </row>
    <row r="55" spans="2:7">
      <c r="B55" s="14" t="s">
        <v>3368</v>
      </c>
      <c r="C55" s="14" t="s">
        <v>3502</v>
      </c>
      <c r="D55" s="14" t="s">
        <v>3475</v>
      </c>
      <c r="E55" s="14" t="s">
        <v>3494</v>
      </c>
      <c r="F55" s="20" t="s">
        <v>3503</v>
      </c>
      <c r="G55" s="21" t="str">
        <f>IF( COUNTIF( Papers!A:A,  B55 ) &gt; 0, "OK", "KO" )</f>
        <v>OK</v>
      </c>
    </row>
    <row r="56" spans="2:7">
      <c r="B56" s="14" t="s">
        <v>3368</v>
      </c>
      <c r="C56" s="14" t="s">
        <v>3504</v>
      </c>
      <c r="D56" s="14" t="s">
        <v>3475</v>
      </c>
      <c r="E56" s="14" t="s">
        <v>3494</v>
      </c>
      <c r="F56" s="20" t="s">
        <v>3505</v>
      </c>
      <c r="G56" s="21" t="str">
        <f>IF( COUNTIF( Papers!A:A,  B56 ) &gt; 0, "OK", "KO" )</f>
        <v>OK</v>
      </c>
    </row>
    <row r="57" spans="2:7">
      <c r="B57" s="14" t="s">
        <v>3372</v>
      </c>
      <c r="C57" s="14" t="s">
        <v>3506</v>
      </c>
      <c r="D57" s="14" t="s">
        <v>3475</v>
      </c>
      <c r="E57" s="14" t="s">
        <v>3494</v>
      </c>
      <c r="F57" s="20" t="s">
        <v>3507</v>
      </c>
      <c r="G57" s="21" t="str">
        <f>IF( COUNTIF( Papers!A:A,  B57 ) &gt; 0, "OK", "KO" )</f>
        <v>OK</v>
      </c>
    </row>
    <row r="58" spans="2:7" ht="30">
      <c r="B58" s="14" t="s">
        <v>3389</v>
      </c>
      <c r="C58" s="14" t="s">
        <v>3537</v>
      </c>
      <c r="D58" s="14" t="s">
        <v>3475</v>
      </c>
      <c r="E58" s="14" t="s">
        <v>3538</v>
      </c>
      <c r="F58" s="20" t="s">
        <v>3539</v>
      </c>
      <c r="G58" s="21" t="str">
        <f>IF( COUNTIF( Papers!A:A,  B58 ) &gt; 0, "OK", "KO" )</f>
        <v>OK</v>
      </c>
    </row>
    <row r="59" spans="2:7" ht="30">
      <c r="B59" s="14" t="s">
        <v>3389</v>
      </c>
      <c r="C59" s="14" t="s">
        <v>3540</v>
      </c>
      <c r="D59" s="14" t="s">
        <v>3475</v>
      </c>
      <c r="E59" s="14" t="s">
        <v>3541</v>
      </c>
      <c r="F59" s="20" t="s">
        <v>3542</v>
      </c>
      <c r="G59" s="21" t="str">
        <f>IF( COUNTIF( Papers!A:A,  B59 ) &gt; 0, "OK", "KO" )</f>
        <v>OK</v>
      </c>
    </row>
    <row r="60" spans="2:7" ht="15" customHeight="1">
      <c r="B60" s="14" t="s">
        <v>3366</v>
      </c>
      <c r="C60" s="14" t="s">
        <v>3467</v>
      </c>
      <c r="D60" s="14" t="s">
        <v>3463</v>
      </c>
      <c r="E60" s="14" t="s">
        <v>3464</v>
      </c>
      <c r="F60" s="20" t="s">
        <v>3468</v>
      </c>
      <c r="G60" s="21" t="str">
        <f>IF( COUNTIF( Papers!A:A,  B60 ) &gt; 0, "OK", "KO" )</f>
        <v>OK</v>
      </c>
    </row>
    <row r="61" spans="2:7">
      <c r="B61" s="14" t="s">
        <v>3377</v>
      </c>
      <c r="C61" s="14" t="s">
        <v>3425</v>
      </c>
      <c r="D61" s="14" t="s">
        <v>3413</v>
      </c>
      <c r="E61" s="14" t="s">
        <v>3426</v>
      </c>
      <c r="F61" s="20" t="s">
        <v>3427</v>
      </c>
      <c r="G61" s="21" t="str">
        <f>IF( COUNTIF( Papers!A:A,  B61 ) &gt; 0, "OK", "KO" )</f>
        <v>OK</v>
      </c>
    </row>
    <row r="62" spans="2:7" ht="15" customHeight="1">
      <c r="B62" s="14" t="s">
        <v>3377</v>
      </c>
      <c r="C62" s="14" t="s">
        <v>3546</v>
      </c>
      <c r="D62" s="14" t="s">
        <v>3449</v>
      </c>
      <c r="E62" s="14" t="s">
        <v>3450</v>
      </c>
      <c r="F62" s="20" t="s">
        <v>3547</v>
      </c>
      <c r="G62" s="21" t="str">
        <f>IF( COUNTIF( Papers!A:A,  B62 ) &gt; 0, "OK", "KO" )</f>
        <v>OK</v>
      </c>
    </row>
    <row r="63" spans="2:7" ht="15" customHeight="1">
      <c r="B63" s="14" t="s">
        <v>3367</v>
      </c>
      <c r="C63" s="14" t="s">
        <v>3417</v>
      </c>
      <c r="D63" s="14" t="s">
        <v>3413</v>
      </c>
      <c r="E63" s="14" t="s">
        <v>3418</v>
      </c>
      <c r="F63" s="20" t="s">
        <v>3419</v>
      </c>
      <c r="G63" s="21" t="str">
        <f>IF( COUNTIF( Papers!A:A,  B63 ) &gt; 0, "OK", "KO" )</f>
        <v>OK</v>
      </c>
    </row>
    <row r="64" spans="2:7" ht="15" customHeight="1">
      <c r="B64" s="14" t="s">
        <v>3373</v>
      </c>
      <c r="C64" s="14" t="s">
        <v>3480</v>
      </c>
      <c r="D64" s="14" t="s">
        <v>3475</v>
      </c>
      <c r="E64" s="14" t="s">
        <v>3476</v>
      </c>
      <c r="F64" s="20" t="s">
        <v>3481</v>
      </c>
      <c r="G64" s="21" t="str">
        <f>IF( COUNTIF( Papers!A:A,  B64 ) &gt; 0, "OK", "KO" )</f>
        <v>OK</v>
      </c>
    </row>
    <row r="65" spans="2:7" ht="15" customHeight="1">
      <c r="B65" s="14" t="s">
        <v>3374</v>
      </c>
      <c r="C65" s="14" t="s">
        <v>3472</v>
      </c>
      <c r="D65" s="14" t="s">
        <v>3463</v>
      </c>
      <c r="E65" s="14" t="s">
        <v>3470</v>
      </c>
      <c r="F65" s="20" t="s">
        <v>3473</v>
      </c>
      <c r="G65" s="21" t="str">
        <f>IF( COUNTIF( Papers!A:A,  B65 ) &gt; 0, "OK", "KO" )</f>
        <v>OK</v>
      </c>
    </row>
    <row r="66" spans="2:7" ht="15" customHeight="1">
      <c r="B66" s="14" t="s">
        <v>3378</v>
      </c>
      <c r="C66" s="14" t="s">
        <v>3548</v>
      </c>
      <c r="D66" s="14" t="s">
        <v>3432</v>
      </c>
      <c r="E66" s="14" t="s">
        <v>3511</v>
      </c>
      <c r="F66" s="20" t="s">
        <v>3549</v>
      </c>
      <c r="G66" s="21" t="str">
        <f>IF( COUNTIF( Papers!A:A,  B66 ) &gt; 0, "OK", "KO" )</f>
        <v>OK</v>
      </c>
    </row>
    <row r="67" spans="2:7" ht="15" customHeight="1">
      <c r="B67" s="14" t="s">
        <v>3379</v>
      </c>
      <c r="C67" s="14" t="s">
        <v>3552</v>
      </c>
      <c r="D67" s="14" t="s">
        <v>3449</v>
      </c>
      <c r="E67" s="14" t="s">
        <v>3457</v>
      </c>
      <c r="F67" s="20" t="s">
        <v>3553</v>
      </c>
      <c r="G67" s="21" t="str">
        <f>IF( COUNTIF( Papers!A:A,  B67 ) &gt; 0, "OK", "KO" )</f>
        <v>OK</v>
      </c>
    </row>
    <row r="68" spans="2:7" ht="15" customHeight="1">
      <c r="B68" s="14" t="s">
        <v>3388</v>
      </c>
      <c r="C68" s="14" t="s">
        <v>3526</v>
      </c>
      <c r="D68" s="14" t="s">
        <v>3463</v>
      </c>
      <c r="E68" s="14" t="s">
        <v>3464</v>
      </c>
      <c r="F68" s="20" t="s">
        <v>3527</v>
      </c>
      <c r="G68" s="21" t="str">
        <f>IF( COUNTIF( Papers!A:A,  B68 ) &gt; 0, "OK", "KO" )</f>
        <v>OK</v>
      </c>
    </row>
    <row r="69" spans="2:7" ht="15" customHeight="1">
      <c r="B69" s="14" t="s">
        <v>3388</v>
      </c>
      <c r="C69" s="14" t="s">
        <v>3528</v>
      </c>
      <c r="D69" s="14" t="s">
        <v>3463</v>
      </c>
      <c r="E69" s="14" t="s">
        <v>3470</v>
      </c>
      <c r="F69" s="20" t="s">
        <v>3529</v>
      </c>
      <c r="G69" s="21" t="str">
        <f>IF( COUNTIF( Papers!A:A,  B69 ) &gt; 0, "OK", "KO" )</f>
        <v>OK</v>
      </c>
    </row>
    <row r="70" spans="2:7" ht="15" customHeight="1">
      <c r="B70" s="14" t="s">
        <v>3388</v>
      </c>
      <c r="C70" s="14" t="s">
        <v>3530</v>
      </c>
      <c r="D70" s="14" t="s">
        <v>3449</v>
      </c>
      <c r="E70" s="14" t="s">
        <v>3450</v>
      </c>
      <c r="F70" s="20" t="s">
        <v>3531</v>
      </c>
      <c r="G70" s="21" t="str">
        <f>IF( COUNTIF( Papers!A:A,  B70 ) &gt; 0, "OK", "KO" )</f>
        <v>OK</v>
      </c>
    </row>
    <row r="71" spans="2:7" ht="15" customHeight="1">
      <c r="B71" s="14" t="s">
        <v>3388</v>
      </c>
      <c r="C71" s="14" t="s">
        <v>3532</v>
      </c>
      <c r="D71" s="14" t="s">
        <v>3475</v>
      </c>
      <c r="E71" s="14" t="s">
        <v>3494</v>
      </c>
      <c r="F71" s="20" t="s">
        <v>3533</v>
      </c>
      <c r="G71" s="21" t="str">
        <f>IF( COUNTIF( Papers!A:A,  B71 ) &gt; 0, "OK", "KO" )</f>
        <v>OK</v>
      </c>
    </row>
    <row r="72" spans="2:7" ht="15" customHeight="1">
      <c r="B72" s="14" t="s">
        <v>3388</v>
      </c>
      <c r="C72" s="14" t="s">
        <v>3534</v>
      </c>
      <c r="D72" s="14" t="s">
        <v>3463</v>
      </c>
      <c r="E72" s="14" t="s">
        <v>3464</v>
      </c>
      <c r="F72" s="20" t="s">
        <v>3535</v>
      </c>
      <c r="G72" s="21" t="str">
        <f>IF( COUNTIF( Papers!A:A,  B72 ) &gt; 0, "OK", "KO" )</f>
        <v>OK</v>
      </c>
    </row>
    <row r="73" spans="2:7" ht="15" customHeight="1">
      <c r="B73" s="14" t="s">
        <v>3396</v>
      </c>
      <c r="C73" s="14" t="s">
        <v>3465</v>
      </c>
      <c r="D73" s="14" t="s">
        <v>3463</v>
      </c>
      <c r="E73" s="14" t="s">
        <v>3466</v>
      </c>
      <c r="F73" s="20" t="s">
        <v>3573</v>
      </c>
      <c r="G73" s="21" t="str">
        <f>IF( COUNTIF( Papers!A:A,  B73 ) &gt; 0, "OK", "KO" )</f>
        <v>OK</v>
      </c>
    </row>
    <row r="74" spans="2:7" ht="15" customHeight="1">
      <c r="B74" s="14" t="s">
        <v>3397</v>
      </c>
      <c r="C74" s="14" t="s">
        <v>3572</v>
      </c>
      <c r="D74" s="14" t="s">
        <v>3475</v>
      </c>
      <c r="E74" s="14" t="s">
        <v>3494</v>
      </c>
      <c r="F74" s="20" t="s">
        <v>3551</v>
      </c>
      <c r="G74" s="21" t="str">
        <f>IF( COUNTIF( Papers!A:A,  B74 ) &gt; 0, "OK", "KO" )</f>
        <v>OK</v>
      </c>
    </row>
    <row r="75" spans="2:7" ht="15" customHeight="1">
      <c r="B75" s="14" t="s">
        <v>3398</v>
      </c>
      <c r="C75" s="14" t="s">
        <v>3536</v>
      </c>
      <c r="D75" s="14" t="s">
        <v>3463</v>
      </c>
      <c r="E75" s="14" t="s">
        <v>3466</v>
      </c>
      <c r="F75" s="20" t="s">
        <v>3543</v>
      </c>
      <c r="G75" s="21" t="str">
        <f>IF( COUNTIF( Papers!A:A,  B75 ) &gt; 0, "OK", "KO" )</f>
        <v>OK</v>
      </c>
    </row>
    <row r="76" spans="2:7" ht="15" customHeight="1">
      <c r="B76" s="14" t="s">
        <v>3398</v>
      </c>
      <c r="C76" s="14" t="s">
        <v>3544</v>
      </c>
      <c r="D76" s="14" t="s">
        <v>3413</v>
      </c>
      <c r="E76" s="14" t="s">
        <v>3414</v>
      </c>
      <c r="F76" s="20" t="s">
        <v>3545</v>
      </c>
      <c r="G76" s="21" t="str">
        <f>IF( COUNTIF( Papers!A:A,  B76 ) &gt; 0, "OK", "KO" )</f>
        <v>OK</v>
      </c>
    </row>
    <row r="77" spans="2:7" ht="15" customHeight="1">
      <c r="B77" s="14" t="s">
        <v>3403</v>
      </c>
      <c r="C77" s="14" t="s">
        <v>3456</v>
      </c>
      <c r="D77" s="14" t="s">
        <v>3449</v>
      </c>
      <c r="E77" s="14" t="s">
        <v>3457</v>
      </c>
      <c r="F77" s="20" t="s">
        <v>3458</v>
      </c>
      <c r="G77" s="21" t="str">
        <f>IF( COUNTIF( Papers!A:A,  B77 ) &gt; 0, "OK", "KO" )</f>
        <v>OK</v>
      </c>
    </row>
    <row r="78" spans="2:7" ht="15" customHeight="1">
      <c r="B78" s="14" t="s">
        <v>3405</v>
      </c>
      <c r="C78" s="14" t="s">
        <v>3554</v>
      </c>
      <c r="D78" s="14" t="s">
        <v>3449</v>
      </c>
      <c r="E78" s="14" t="s">
        <v>3450</v>
      </c>
      <c r="F78" s="20" t="s">
        <v>3555</v>
      </c>
      <c r="G78" s="21" t="str">
        <f>IF( COUNTIF( Papers!A:A,  B78 ) &gt; 0, "OK", "KO" )</f>
        <v>OK</v>
      </c>
    </row>
    <row r="79" spans="2:7">
      <c r="B79" s="14" t="s">
        <v>3393</v>
      </c>
      <c r="C79" s="14" t="s">
        <v>3478</v>
      </c>
      <c r="D79" s="14" t="s">
        <v>3475</v>
      </c>
      <c r="E79" s="14" t="s">
        <v>3476</v>
      </c>
      <c r="F79" s="20" t="s">
        <v>3558</v>
      </c>
      <c r="G79" s="21" t="str">
        <f>IF( COUNTIF( Papers!A:A,  B79 ) &gt; 0, "OK", "KO" )</f>
        <v>OK</v>
      </c>
    </row>
    <row r="80" spans="2:7">
      <c r="B80" s="14" t="s">
        <v>3357</v>
      </c>
      <c r="C80" s="14" t="s">
        <v>3550</v>
      </c>
      <c r="D80" s="14" t="s">
        <v>3475</v>
      </c>
      <c r="E80" s="14" t="s">
        <v>3494</v>
      </c>
      <c r="F80" s="20" t="s">
        <v>3559</v>
      </c>
      <c r="G80" s="21" t="str">
        <f>IF( COUNTIF( Papers!A:A,  B80 ) &gt; 0, "OK", "KO" )</f>
        <v>OK</v>
      </c>
    </row>
    <row r="81" spans="6:6">
      <c r="F81" s="18"/>
    </row>
    <row r="82" spans="6:6">
      <c r="F82" s="18"/>
    </row>
    <row r="83" spans="6:6">
      <c r="F83" s="18"/>
    </row>
    <row r="84" spans="6:6">
      <c r="F84" s="18"/>
    </row>
    <row r="85" spans="6:6">
      <c r="F85" s="18"/>
    </row>
    <row r="86" spans="6:6">
      <c r="F86" s="18"/>
    </row>
    <row r="87" spans="6:6">
      <c r="F87" s="18"/>
    </row>
    <row r="88" spans="6:6">
      <c r="F88" s="18"/>
    </row>
    <row r="89" spans="6:6">
      <c r="F89" s="18"/>
    </row>
    <row r="90" spans="6:6">
      <c r="F90" s="18"/>
    </row>
    <row r="91" spans="6:6">
      <c r="F91" s="18"/>
    </row>
    <row r="92" spans="6:6">
      <c r="F92" s="18"/>
    </row>
    <row r="93" spans="6:6">
      <c r="F93" s="18"/>
    </row>
    <row r="94" spans="6:6">
      <c r="F94" s="18"/>
    </row>
    <row r="95" spans="6:6">
      <c r="F95" s="18"/>
    </row>
    <row r="96" spans="6:6">
      <c r="F96" s="18"/>
    </row>
    <row r="97" spans="6:6">
      <c r="F97" s="18"/>
    </row>
    <row r="98" spans="6:6">
      <c r="F98" s="18"/>
    </row>
    <row r="99" spans="6:6">
      <c r="F99" s="18"/>
    </row>
    <row r="100" spans="6:6">
      <c r="F100" s="18"/>
    </row>
    <row r="101" spans="6:6">
      <c r="F101" s="18"/>
    </row>
    <row r="102" spans="6:6">
      <c r="F102" s="18"/>
    </row>
    <row r="103" spans="6:6">
      <c r="F103" s="18"/>
    </row>
    <row r="104" spans="6:6">
      <c r="F104" s="18"/>
    </row>
    <row r="105" spans="6:6">
      <c r="F105" s="18"/>
    </row>
    <row r="106" spans="6:6">
      <c r="F106" s="18"/>
    </row>
    <row r="107" spans="6:6">
      <c r="F107" s="18"/>
    </row>
    <row r="108" spans="6:6">
      <c r="F108" s="18"/>
    </row>
    <row r="109" spans="6:6">
      <c r="F109" s="18"/>
    </row>
    <row r="110" spans="6:6">
      <c r="F110" s="18"/>
    </row>
    <row r="111" spans="6:6">
      <c r="F111" s="18"/>
    </row>
    <row r="112" spans="6:6">
      <c r="F112" s="18"/>
    </row>
    <row r="113" spans="6:6">
      <c r="F113" s="18"/>
    </row>
    <row r="114" spans="6:6">
      <c r="F114" s="18"/>
    </row>
    <row r="115" spans="6:6">
      <c r="F115" s="18"/>
    </row>
    <row r="116" spans="6:6">
      <c r="F116" s="18"/>
    </row>
    <row r="117" spans="6:6">
      <c r="F117" s="18"/>
    </row>
    <row r="118" spans="6:6">
      <c r="F118" s="18"/>
    </row>
    <row r="119" spans="6:6">
      <c r="F119" s="18"/>
    </row>
    <row r="120" spans="6:6">
      <c r="F120" s="18"/>
    </row>
    <row r="121" spans="6:6">
      <c r="F121" s="18"/>
    </row>
    <row r="122" spans="6:6">
      <c r="F122" s="18"/>
    </row>
    <row r="123" spans="6:6">
      <c r="F123" s="18"/>
    </row>
    <row r="124" spans="6:6">
      <c r="F124" s="18"/>
    </row>
    <row r="125" spans="6:6">
      <c r="F125" s="18"/>
    </row>
    <row r="126" spans="6:6">
      <c r="F126" s="18"/>
    </row>
    <row r="127" spans="6:6">
      <c r="F127" s="18"/>
    </row>
    <row r="128" spans="6:6">
      <c r="F128" s="18"/>
    </row>
    <row r="129" spans="6:6">
      <c r="F129" s="18"/>
    </row>
    <row r="130" spans="6:6">
      <c r="F130" s="18"/>
    </row>
    <row r="131" spans="6:6">
      <c r="F131" s="18"/>
    </row>
    <row r="132" spans="6:6">
      <c r="F132" s="18"/>
    </row>
    <row r="133" spans="6:6">
      <c r="F133" s="18"/>
    </row>
    <row r="134" spans="6:6">
      <c r="F134" s="18"/>
    </row>
    <row r="135" spans="6:6">
      <c r="F135" s="18"/>
    </row>
    <row r="136" spans="6:6">
      <c r="F136" s="18"/>
    </row>
    <row r="137" spans="6:6">
      <c r="F137" s="18"/>
    </row>
    <row r="138" spans="6:6">
      <c r="F138" s="18"/>
    </row>
    <row r="139" spans="6:6">
      <c r="F139" s="18"/>
    </row>
    <row r="140" spans="6:6">
      <c r="F140" s="18"/>
    </row>
    <row r="141" spans="6:6">
      <c r="F141" s="18"/>
    </row>
    <row r="142" spans="6:6">
      <c r="F142" s="18"/>
    </row>
    <row r="143" spans="6:6">
      <c r="F143" s="18"/>
    </row>
    <row r="144" spans="6:6">
      <c r="F144" s="18"/>
    </row>
    <row r="145" spans="6:6">
      <c r="F145" s="18"/>
    </row>
    <row r="146" spans="6:6">
      <c r="F146" s="18"/>
    </row>
    <row r="147" spans="6:6">
      <c r="F147" s="18"/>
    </row>
    <row r="148" spans="6:6">
      <c r="F148" s="18"/>
    </row>
    <row r="149" spans="6:6">
      <c r="F149" s="18"/>
    </row>
    <row r="150" spans="6:6">
      <c r="F150" s="18"/>
    </row>
    <row r="151" spans="6:6">
      <c r="F151" s="18"/>
    </row>
    <row r="152" spans="6:6">
      <c r="F152" s="18"/>
    </row>
    <row r="153" spans="6:6">
      <c r="F153" s="18"/>
    </row>
    <row r="154" spans="6:6">
      <c r="F154" s="18"/>
    </row>
    <row r="155" spans="6:6">
      <c r="F155" s="18"/>
    </row>
    <row r="156" spans="6:6">
      <c r="F156" s="18"/>
    </row>
    <row r="157" spans="6:6">
      <c r="F157" s="18"/>
    </row>
    <row r="158" spans="6:6">
      <c r="F158" s="18"/>
    </row>
    <row r="159" spans="6:6">
      <c r="F159" s="18"/>
    </row>
    <row r="160" spans="6:6">
      <c r="F160" s="18"/>
    </row>
    <row r="161" spans="6:6">
      <c r="F161" s="18"/>
    </row>
    <row r="162" spans="6:6">
      <c r="F162" s="18"/>
    </row>
    <row r="163" spans="6:6">
      <c r="F163" s="18"/>
    </row>
    <row r="164" spans="6:6">
      <c r="F164" s="18"/>
    </row>
    <row r="165" spans="6:6">
      <c r="F165" s="18"/>
    </row>
    <row r="166" spans="6:6">
      <c r="F166" s="18"/>
    </row>
    <row r="167" spans="6:6">
      <c r="F167" s="18"/>
    </row>
    <row r="168" spans="6:6">
      <c r="F168" s="18"/>
    </row>
    <row r="169" spans="6:6">
      <c r="F169" s="18"/>
    </row>
    <row r="170" spans="6:6">
      <c r="F170" s="18"/>
    </row>
    <row r="171" spans="6:6">
      <c r="F171" s="18"/>
    </row>
    <row r="172" spans="6:6">
      <c r="F172" s="18"/>
    </row>
    <row r="173" spans="6:6">
      <c r="F173" s="18"/>
    </row>
    <row r="174" spans="6:6">
      <c r="F174" s="18"/>
    </row>
    <row r="175" spans="6:6">
      <c r="F175" s="18"/>
    </row>
    <row r="176" spans="6:6">
      <c r="F176" s="18"/>
    </row>
    <row r="177" spans="6:6">
      <c r="F177" s="18"/>
    </row>
    <row r="178" spans="6:6">
      <c r="F178" s="18"/>
    </row>
    <row r="179" spans="6:6">
      <c r="F179" s="18"/>
    </row>
    <row r="180" spans="6:6">
      <c r="F180" s="18"/>
    </row>
    <row r="181" spans="6:6">
      <c r="F181" s="18"/>
    </row>
    <row r="182" spans="6:6">
      <c r="F182" s="18"/>
    </row>
    <row r="183" spans="6:6">
      <c r="F183" s="18"/>
    </row>
    <row r="184" spans="6:6">
      <c r="F184" s="18"/>
    </row>
    <row r="185" spans="6:6">
      <c r="F185" s="18"/>
    </row>
    <row r="186" spans="6:6">
      <c r="F186" s="18"/>
    </row>
    <row r="187" spans="6:6">
      <c r="F187" s="18"/>
    </row>
    <row r="188" spans="6:6">
      <c r="F188" s="18"/>
    </row>
    <row r="189" spans="6:6">
      <c r="F189" s="18"/>
    </row>
    <row r="190" spans="6:6">
      <c r="F190" s="18"/>
    </row>
    <row r="191" spans="6:6">
      <c r="F191" s="18"/>
    </row>
    <row r="192" spans="6:6">
      <c r="F192" s="18"/>
    </row>
    <row r="193" spans="6:6">
      <c r="F193" s="18"/>
    </row>
    <row r="194" spans="6:6">
      <c r="F194" s="18"/>
    </row>
    <row r="195" spans="6:6">
      <c r="F195" s="18"/>
    </row>
    <row r="196" spans="6:6">
      <c r="F196" s="18"/>
    </row>
    <row r="197" spans="6:6">
      <c r="F197" s="18"/>
    </row>
    <row r="198" spans="6:6">
      <c r="F198" s="18"/>
    </row>
    <row r="199" spans="6:6">
      <c r="F199" s="18"/>
    </row>
    <row r="200" spans="6:6">
      <c r="F200" s="18"/>
    </row>
    <row r="201" spans="6:6">
      <c r="F201" s="18"/>
    </row>
    <row r="202" spans="6:6">
      <c r="F202" s="18"/>
    </row>
    <row r="203" spans="6:6">
      <c r="F203" s="18"/>
    </row>
    <row r="204" spans="6:6">
      <c r="F204" s="18"/>
    </row>
    <row r="205" spans="6:6">
      <c r="F205" s="18"/>
    </row>
    <row r="206" spans="6:6">
      <c r="F206" s="18"/>
    </row>
    <row r="207" spans="6:6">
      <c r="F207" s="18"/>
    </row>
    <row r="208" spans="6:6">
      <c r="F208" s="18"/>
    </row>
    <row r="209" spans="6:6">
      <c r="F209" s="18"/>
    </row>
    <row r="210" spans="6:6">
      <c r="F210" s="18"/>
    </row>
    <row r="211" spans="6:6">
      <c r="F211" s="18"/>
    </row>
    <row r="212" spans="6:6">
      <c r="F212" s="18"/>
    </row>
    <row r="213" spans="6:6">
      <c r="F213" s="18"/>
    </row>
    <row r="214" spans="6:6">
      <c r="F214" s="18"/>
    </row>
    <row r="215" spans="6:6">
      <c r="F215" s="18"/>
    </row>
    <row r="216" spans="6:6">
      <c r="F216" s="18"/>
    </row>
    <row r="217" spans="6:6">
      <c r="F217" s="18"/>
    </row>
    <row r="218" spans="6:6">
      <c r="F218" s="18"/>
    </row>
    <row r="219" spans="6:6">
      <c r="F219" s="18"/>
    </row>
    <row r="220" spans="6:6">
      <c r="F220" s="18"/>
    </row>
    <row r="221" spans="6:6">
      <c r="F221" s="18"/>
    </row>
    <row r="222" spans="6:6">
      <c r="F222" s="18"/>
    </row>
    <row r="223" spans="6:6">
      <c r="F223" s="18"/>
    </row>
    <row r="224" spans="6:6">
      <c r="F224" s="18"/>
    </row>
    <row r="225" spans="6:6">
      <c r="F225" s="18"/>
    </row>
    <row r="226" spans="6:6">
      <c r="F226" s="18"/>
    </row>
    <row r="227" spans="6:6">
      <c r="F227" s="18"/>
    </row>
    <row r="228" spans="6:6">
      <c r="F228" s="18"/>
    </row>
    <row r="229" spans="6:6">
      <c r="F229" s="18"/>
    </row>
    <row r="230" spans="6:6">
      <c r="F230" s="18"/>
    </row>
    <row r="231" spans="6:6">
      <c r="F231" s="18"/>
    </row>
    <row r="232" spans="6:6">
      <c r="F232" s="18"/>
    </row>
    <row r="233" spans="6:6">
      <c r="F233" s="18"/>
    </row>
    <row r="234" spans="6:6">
      <c r="F234" s="18"/>
    </row>
    <row r="235" spans="6:6">
      <c r="F235" s="18"/>
    </row>
    <row r="236" spans="6:6">
      <c r="F236" s="18"/>
    </row>
    <row r="237" spans="6:6">
      <c r="F237" s="18"/>
    </row>
    <row r="238" spans="6:6">
      <c r="F238" s="18"/>
    </row>
    <row r="239" spans="6:6">
      <c r="F239" s="18"/>
    </row>
    <row r="240" spans="6:6">
      <c r="F240" s="18"/>
    </row>
    <row r="241" spans="6:6">
      <c r="F241" s="18"/>
    </row>
    <row r="242" spans="6:6">
      <c r="F242" s="18"/>
    </row>
    <row r="243" spans="6:6">
      <c r="F243" s="18"/>
    </row>
    <row r="244" spans="6:6">
      <c r="F244" s="18"/>
    </row>
    <row r="245" spans="6:6">
      <c r="F245" s="18"/>
    </row>
    <row r="246" spans="6:6">
      <c r="F246" s="18"/>
    </row>
    <row r="247" spans="6:6">
      <c r="F247" s="18"/>
    </row>
    <row r="248" spans="6:6">
      <c r="F248" s="18"/>
    </row>
    <row r="249" spans="6:6">
      <c r="F249" s="18"/>
    </row>
    <row r="250" spans="6:6">
      <c r="F250" s="18"/>
    </row>
    <row r="251" spans="6:6">
      <c r="F251" s="18"/>
    </row>
    <row r="252" spans="6:6">
      <c r="F252" s="18"/>
    </row>
    <row r="253" spans="6:6">
      <c r="F253" s="18"/>
    </row>
    <row r="254" spans="6:6">
      <c r="F254" s="18"/>
    </row>
    <row r="255" spans="6:6">
      <c r="F255" s="18"/>
    </row>
    <row r="256" spans="6:6">
      <c r="F256" s="18"/>
    </row>
    <row r="257" spans="6:6">
      <c r="F257" s="18"/>
    </row>
    <row r="258" spans="6:6">
      <c r="F258" s="18"/>
    </row>
    <row r="259" spans="6:6">
      <c r="F259" s="18"/>
    </row>
    <row r="260" spans="6:6">
      <c r="F260" s="18"/>
    </row>
    <row r="261" spans="6:6">
      <c r="F261" s="18"/>
    </row>
    <row r="262" spans="6:6">
      <c r="F262" s="18"/>
    </row>
    <row r="263" spans="6:6">
      <c r="F263" s="18"/>
    </row>
    <row r="264" spans="6:6">
      <c r="F264" s="18"/>
    </row>
    <row r="265" spans="6:6">
      <c r="F265" s="18"/>
    </row>
    <row r="266" spans="6:6">
      <c r="F266" s="18"/>
    </row>
    <row r="267" spans="6:6">
      <c r="F267" s="18"/>
    </row>
    <row r="268" spans="6:6">
      <c r="F268" s="18"/>
    </row>
    <row r="269" spans="6:6">
      <c r="F269" s="18"/>
    </row>
    <row r="270" spans="6:6">
      <c r="F270" s="18"/>
    </row>
    <row r="271" spans="6:6">
      <c r="F271" s="18"/>
    </row>
    <row r="272" spans="6:6">
      <c r="F272" s="18"/>
    </row>
    <row r="273" spans="6:6">
      <c r="F273" s="18"/>
    </row>
    <row r="274" spans="6:6">
      <c r="F274" s="18"/>
    </row>
    <row r="275" spans="6:6">
      <c r="F275" s="18"/>
    </row>
    <row r="276" spans="6:6">
      <c r="F276" s="18"/>
    </row>
    <row r="277" spans="6:6">
      <c r="F277" s="18"/>
    </row>
    <row r="278" spans="6:6">
      <c r="F278" s="18"/>
    </row>
    <row r="279" spans="6:6">
      <c r="F279" s="18"/>
    </row>
    <row r="280" spans="6:6">
      <c r="F280" s="18"/>
    </row>
    <row r="281" spans="6:6">
      <c r="F281" s="18"/>
    </row>
    <row r="282" spans="6:6">
      <c r="F282" s="18"/>
    </row>
    <row r="283" spans="6:6">
      <c r="F283" s="18"/>
    </row>
    <row r="284" spans="6:6">
      <c r="F284" s="18"/>
    </row>
    <row r="285" spans="6:6">
      <c r="F285" s="18"/>
    </row>
    <row r="286" spans="6:6">
      <c r="F286" s="18"/>
    </row>
    <row r="287" spans="6:6">
      <c r="F287" s="18"/>
    </row>
    <row r="288" spans="6:6">
      <c r="F288" s="18"/>
    </row>
    <row r="289" spans="6:6">
      <c r="F289" s="18"/>
    </row>
    <row r="290" spans="6:6">
      <c r="F290" s="18"/>
    </row>
    <row r="291" spans="6:6">
      <c r="F291" s="18"/>
    </row>
    <row r="292" spans="6:6">
      <c r="F292" s="18"/>
    </row>
    <row r="293" spans="6:6">
      <c r="F293" s="18"/>
    </row>
    <row r="294" spans="6:6">
      <c r="F294" s="18"/>
    </row>
    <row r="295" spans="6:6">
      <c r="F295" s="18"/>
    </row>
    <row r="296" spans="6:6">
      <c r="F296" s="18"/>
    </row>
    <row r="297" spans="6:6">
      <c r="F297" s="18"/>
    </row>
    <row r="298" spans="6:6">
      <c r="F298" s="18"/>
    </row>
    <row r="299" spans="6:6">
      <c r="F299" s="18"/>
    </row>
    <row r="300" spans="6:6">
      <c r="F300" s="18"/>
    </row>
    <row r="301" spans="6:6">
      <c r="F301" s="18"/>
    </row>
    <row r="302" spans="6:6">
      <c r="F302" s="18"/>
    </row>
    <row r="303" spans="6:6">
      <c r="F303" s="18"/>
    </row>
    <row r="304" spans="6:6">
      <c r="F304" s="18"/>
    </row>
    <row r="305" spans="6:6">
      <c r="F305" s="18"/>
    </row>
    <row r="306" spans="6:6">
      <c r="F306" s="18"/>
    </row>
    <row r="307" spans="6:6">
      <c r="F307" s="18"/>
    </row>
    <row r="308" spans="6:6">
      <c r="F308" s="18"/>
    </row>
    <row r="309" spans="6:6">
      <c r="F309" s="18"/>
    </row>
    <row r="310" spans="6:6">
      <c r="F310" s="18"/>
    </row>
    <row r="311" spans="6:6">
      <c r="F311" s="18"/>
    </row>
    <row r="312" spans="6:6">
      <c r="F312" s="18"/>
    </row>
    <row r="313" spans="6:6">
      <c r="F313" s="18"/>
    </row>
    <row r="314" spans="6:6">
      <c r="F314" s="18"/>
    </row>
    <row r="315" spans="6:6">
      <c r="F315" s="18"/>
    </row>
    <row r="316" spans="6:6">
      <c r="F316" s="18"/>
    </row>
    <row r="317" spans="6:6">
      <c r="F317" s="18"/>
    </row>
    <row r="318" spans="6:6">
      <c r="F318" s="18"/>
    </row>
    <row r="319" spans="6:6">
      <c r="F319" s="18"/>
    </row>
    <row r="320" spans="6:6">
      <c r="F320" s="18"/>
    </row>
    <row r="321" spans="6:6">
      <c r="F321" s="18"/>
    </row>
    <row r="322" spans="6:6">
      <c r="F322" s="18"/>
    </row>
    <row r="323" spans="6:6">
      <c r="F323" s="18"/>
    </row>
    <row r="324" spans="6:6">
      <c r="F324" s="18"/>
    </row>
    <row r="325" spans="6:6">
      <c r="F325" s="18"/>
    </row>
    <row r="326" spans="6:6">
      <c r="F326" s="18"/>
    </row>
    <row r="327" spans="6:6">
      <c r="F327" s="18"/>
    </row>
    <row r="328" spans="6:6">
      <c r="F328" s="18"/>
    </row>
    <row r="329" spans="6:6">
      <c r="F329" s="18"/>
    </row>
    <row r="330" spans="6:6">
      <c r="F330" s="18"/>
    </row>
    <row r="331" spans="6:6">
      <c r="F331" s="18"/>
    </row>
    <row r="332" spans="6:6">
      <c r="F332" s="18"/>
    </row>
    <row r="333" spans="6:6">
      <c r="F333" s="18"/>
    </row>
    <row r="334" spans="6:6">
      <c r="F334" s="18"/>
    </row>
    <row r="335" spans="6:6">
      <c r="F335" s="18"/>
    </row>
    <row r="336" spans="6:6">
      <c r="F336" s="18"/>
    </row>
    <row r="337" spans="6:6">
      <c r="F337" s="18"/>
    </row>
    <row r="338" spans="6:6">
      <c r="F338" s="18"/>
    </row>
    <row r="339" spans="6:6">
      <c r="F339" s="18"/>
    </row>
    <row r="340" spans="6:6">
      <c r="F340" s="18"/>
    </row>
    <row r="341" spans="6:6">
      <c r="F341" s="18"/>
    </row>
    <row r="342" spans="6:6">
      <c r="F342" s="18"/>
    </row>
    <row r="343" spans="6:6">
      <c r="F343" s="18"/>
    </row>
    <row r="344" spans="6:6">
      <c r="F344" s="18"/>
    </row>
    <row r="345" spans="6:6">
      <c r="F345" s="18"/>
    </row>
    <row r="346" spans="6:6">
      <c r="F346" s="18"/>
    </row>
    <row r="347" spans="6:6">
      <c r="F347" s="18"/>
    </row>
    <row r="348" spans="6:6">
      <c r="F348" s="18"/>
    </row>
    <row r="349" spans="6:6">
      <c r="F349" s="18"/>
    </row>
    <row r="350" spans="6:6">
      <c r="F350" s="18"/>
    </row>
    <row r="351" spans="6:6">
      <c r="F351" s="18"/>
    </row>
    <row r="352" spans="6:6">
      <c r="F352" s="18"/>
    </row>
    <row r="353" spans="6:6">
      <c r="F353" s="18"/>
    </row>
    <row r="354" spans="6:6">
      <c r="F354" s="18"/>
    </row>
    <row r="355" spans="6:6">
      <c r="F355" s="18"/>
    </row>
    <row r="356" spans="6:6">
      <c r="F356" s="18"/>
    </row>
    <row r="357" spans="6:6">
      <c r="F357" s="18"/>
    </row>
    <row r="358" spans="6:6">
      <c r="F358" s="18"/>
    </row>
    <row r="359" spans="6:6">
      <c r="F359" s="18"/>
    </row>
    <row r="360" spans="6:6">
      <c r="F360" s="18"/>
    </row>
    <row r="361" spans="6:6">
      <c r="F361" s="18"/>
    </row>
    <row r="362" spans="6:6">
      <c r="F362" s="18"/>
    </row>
    <row r="363" spans="6:6">
      <c r="F363" s="18"/>
    </row>
    <row r="364" spans="6:6">
      <c r="F364" s="18"/>
    </row>
    <row r="365" spans="6:6">
      <c r="F365" s="18"/>
    </row>
    <row r="366" spans="6:6">
      <c r="F366" s="18"/>
    </row>
    <row r="367" spans="6:6">
      <c r="F367" s="18"/>
    </row>
    <row r="368" spans="6:6">
      <c r="F368" s="18"/>
    </row>
    <row r="369" spans="6:6">
      <c r="F369" s="18"/>
    </row>
    <row r="370" spans="6:6">
      <c r="F370" s="18"/>
    </row>
    <row r="371" spans="6:6">
      <c r="F371" s="18"/>
    </row>
    <row r="372" spans="6:6">
      <c r="F372" s="18"/>
    </row>
    <row r="373" spans="6:6">
      <c r="F373" s="18"/>
    </row>
    <row r="374" spans="6:6">
      <c r="F374" s="18"/>
    </row>
    <row r="375" spans="6:6">
      <c r="F375" s="18"/>
    </row>
    <row r="376" spans="6:6">
      <c r="F376" s="18"/>
    </row>
    <row r="377" spans="6:6">
      <c r="F377" s="18"/>
    </row>
    <row r="378" spans="6:6">
      <c r="F378" s="18"/>
    </row>
    <row r="379" spans="6:6">
      <c r="F379" s="18"/>
    </row>
    <row r="380" spans="6:6">
      <c r="F380" s="18"/>
    </row>
    <row r="381" spans="6:6">
      <c r="F381" s="18"/>
    </row>
    <row r="382" spans="6:6">
      <c r="F382" s="18"/>
    </row>
    <row r="383" spans="6:6">
      <c r="F383" s="18"/>
    </row>
    <row r="384" spans="6:6">
      <c r="F384" s="18"/>
    </row>
    <row r="385" spans="6:6">
      <c r="F385" s="18"/>
    </row>
    <row r="386" spans="6:6">
      <c r="F386" s="18"/>
    </row>
    <row r="387" spans="6:6">
      <c r="F387" s="18"/>
    </row>
    <row r="388" spans="6:6">
      <c r="F388" s="18"/>
    </row>
    <row r="389" spans="6:6">
      <c r="F389" s="18"/>
    </row>
    <row r="390" spans="6:6">
      <c r="F390" s="18"/>
    </row>
    <row r="391" spans="6:6">
      <c r="F391" s="18"/>
    </row>
    <row r="392" spans="6:6">
      <c r="F392" s="18"/>
    </row>
    <row r="393" spans="6:6">
      <c r="F393" s="18"/>
    </row>
    <row r="394" spans="6:6">
      <c r="F394" s="18"/>
    </row>
    <row r="395" spans="6:6">
      <c r="F395" s="18"/>
    </row>
    <row r="396" spans="6:6">
      <c r="F396" s="18"/>
    </row>
    <row r="397" spans="6:6">
      <c r="F397" s="18"/>
    </row>
    <row r="398" spans="6:6">
      <c r="F398" s="18"/>
    </row>
    <row r="399" spans="6:6">
      <c r="F399" s="18"/>
    </row>
    <row r="400" spans="6:6">
      <c r="F400" s="18"/>
    </row>
    <row r="401" spans="6:6">
      <c r="F401" s="18"/>
    </row>
    <row r="402" spans="6:6">
      <c r="F402" s="18"/>
    </row>
    <row r="403" spans="6:6">
      <c r="F403" s="18"/>
    </row>
    <row r="404" spans="6:6">
      <c r="F404" s="18"/>
    </row>
    <row r="405" spans="6:6">
      <c r="F405" s="18"/>
    </row>
    <row r="406" spans="6:6">
      <c r="F406" s="18"/>
    </row>
    <row r="407" spans="6:6">
      <c r="F407" s="18"/>
    </row>
    <row r="408" spans="6:6">
      <c r="F408" s="18"/>
    </row>
    <row r="409" spans="6:6">
      <c r="F409" s="18"/>
    </row>
    <row r="410" spans="6:6">
      <c r="F410" s="18"/>
    </row>
    <row r="411" spans="6:6">
      <c r="F411" s="18"/>
    </row>
    <row r="412" spans="6:6">
      <c r="F412" s="18"/>
    </row>
    <row r="413" spans="6:6">
      <c r="F413" s="18"/>
    </row>
    <row r="414" spans="6:6">
      <c r="F414" s="18"/>
    </row>
    <row r="415" spans="6:6">
      <c r="F415" s="18"/>
    </row>
    <row r="416" spans="6:6">
      <c r="F416" s="18"/>
    </row>
    <row r="417" spans="6:6">
      <c r="F417" s="18"/>
    </row>
    <row r="418" spans="6:6">
      <c r="F418" s="18"/>
    </row>
    <row r="419" spans="6:6">
      <c r="F419" s="18"/>
    </row>
    <row r="420" spans="6:6">
      <c r="F420" s="18"/>
    </row>
    <row r="421" spans="6:6">
      <c r="F421" s="18"/>
    </row>
    <row r="422" spans="6:6">
      <c r="F422" s="18"/>
    </row>
    <row r="423" spans="6:6">
      <c r="F423" s="18"/>
    </row>
    <row r="424" spans="6:6">
      <c r="F424" s="18"/>
    </row>
    <row r="425" spans="6:6">
      <c r="F425" s="18"/>
    </row>
    <row r="426" spans="6:6">
      <c r="F426" s="18"/>
    </row>
    <row r="427" spans="6:6">
      <c r="F427" s="18"/>
    </row>
    <row r="428" spans="6:6">
      <c r="F428" s="18"/>
    </row>
    <row r="429" spans="6:6">
      <c r="F429" s="18"/>
    </row>
    <row r="430" spans="6:6">
      <c r="F430" s="18"/>
    </row>
    <row r="431" spans="6:6">
      <c r="F431" s="18"/>
    </row>
    <row r="432" spans="6:6">
      <c r="F432" s="18"/>
    </row>
    <row r="433" spans="6:6">
      <c r="F433" s="18"/>
    </row>
    <row r="434" spans="6:6">
      <c r="F434" s="18"/>
    </row>
    <row r="435" spans="6:6">
      <c r="F435" s="18"/>
    </row>
    <row r="436" spans="6:6">
      <c r="F436" s="18"/>
    </row>
    <row r="437" spans="6:6">
      <c r="F437" s="18"/>
    </row>
    <row r="438" spans="6:6">
      <c r="F438" s="18"/>
    </row>
    <row r="439" spans="6:6">
      <c r="F439" s="18"/>
    </row>
    <row r="440" spans="6:6">
      <c r="F440" s="18"/>
    </row>
    <row r="441" spans="6:6">
      <c r="F441" s="18"/>
    </row>
    <row r="442" spans="6:6">
      <c r="F442" s="18"/>
    </row>
    <row r="443" spans="6:6">
      <c r="F443" s="18"/>
    </row>
    <row r="444" spans="6:6">
      <c r="F444" s="18"/>
    </row>
    <row r="445" spans="6:6">
      <c r="F445" s="18"/>
    </row>
    <row r="446" spans="6:6">
      <c r="F446" s="18"/>
    </row>
    <row r="447" spans="6:6">
      <c r="F447" s="18"/>
    </row>
    <row r="448" spans="6:6">
      <c r="F448" s="18"/>
    </row>
    <row r="449" spans="6:6">
      <c r="F449" s="18"/>
    </row>
    <row r="450" spans="6:6">
      <c r="F450" s="18"/>
    </row>
    <row r="451" spans="6:6">
      <c r="F451" s="18"/>
    </row>
    <row r="452" spans="6:6">
      <c r="F452" s="18"/>
    </row>
    <row r="453" spans="6:6">
      <c r="F453" s="18"/>
    </row>
    <row r="454" spans="6:6">
      <c r="F454" s="18"/>
    </row>
    <row r="455" spans="6:6">
      <c r="F455" s="18"/>
    </row>
    <row r="456" spans="6:6">
      <c r="F456" s="18"/>
    </row>
    <row r="457" spans="6:6">
      <c r="F457" s="18"/>
    </row>
    <row r="458" spans="6:6">
      <c r="F458" s="18"/>
    </row>
    <row r="459" spans="6:6">
      <c r="F459" s="18"/>
    </row>
    <row r="460" spans="6:6">
      <c r="F460" s="18"/>
    </row>
    <row r="461" spans="6:6">
      <c r="F461" s="18"/>
    </row>
    <row r="462" spans="6:6">
      <c r="F462" s="18"/>
    </row>
    <row r="463" spans="6:6">
      <c r="F463" s="18"/>
    </row>
    <row r="464" spans="6:6">
      <c r="F464" s="18"/>
    </row>
    <row r="465" spans="6:6">
      <c r="F465" s="18"/>
    </row>
    <row r="466" spans="6:6">
      <c r="F466" s="18"/>
    </row>
    <row r="467" spans="6:6">
      <c r="F467" s="18"/>
    </row>
    <row r="468" spans="6:6">
      <c r="F468" s="18"/>
    </row>
    <row r="469" spans="6:6">
      <c r="F469" s="18"/>
    </row>
    <row r="470" spans="6:6">
      <c r="F470" s="18"/>
    </row>
    <row r="471" spans="6:6">
      <c r="F471" s="18"/>
    </row>
    <row r="472" spans="6:6">
      <c r="F472" s="18"/>
    </row>
    <row r="473" spans="6:6">
      <c r="F473" s="18"/>
    </row>
    <row r="474" spans="6:6">
      <c r="F474" s="18"/>
    </row>
    <row r="475" spans="6:6">
      <c r="F475" s="18"/>
    </row>
    <row r="476" spans="6:6">
      <c r="F476" s="18"/>
    </row>
    <row r="477" spans="6:6">
      <c r="F477" s="18"/>
    </row>
    <row r="478" spans="6:6">
      <c r="F478" s="18"/>
    </row>
    <row r="479" spans="6:6">
      <c r="F479" s="18"/>
    </row>
    <row r="480" spans="6:6">
      <c r="F480" s="18"/>
    </row>
    <row r="481" spans="6:6">
      <c r="F481" s="18"/>
    </row>
    <row r="482" spans="6:6">
      <c r="F482" s="18"/>
    </row>
    <row r="483" spans="6:6">
      <c r="F483" s="18"/>
    </row>
    <row r="484" spans="6:6">
      <c r="F484" s="18"/>
    </row>
    <row r="485" spans="6:6">
      <c r="F485" s="18"/>
    </row>
    <row r="486" spans="6:6">
      <c r="F486" s="18"/>
    </row>
    <row r="487" spans="6:6">
      <c r="F487" s="18"/>
    </row>
    <row r="488" spans="6:6">
      <c r="F488" s="18"/>
    </row>
    <row r="489" spans="6:6">
      <c r="F489" s="18"/>
    </row>
    <row r="490" spans="6:6">
      <c r="F490" s="18"/>
    </row>
    <row r="491" spans="6:6">
      <c r="F491" s="18"/>
    </row>
    <row r="492" spans="6:6">
      <c r="F492" s="18"/>
    </row>
    <row r="493" spans="6:6">
      <c r="F493" s="18"/>
    </row>
    <row r="494" spans="6:6">
      <c r="F494" s="18"/>
    </row>
    <row r="495" spans="6:6">
      <c r="F495" s="18"/>
    </row>
    <row r="496" spans="6:6">
      <c r="F496" s="18"/>
    </row>
    <row r="497" spans="6:6">
      <c r="F497" s="18"/>
    </row>
    <row r="498" spans="6:6">
      <c r="F498" s="18"/>
    </row>
    <row r="499" spans="6:6">
      <c r="F499" s="18"/>
    </row>
    <row r="500" spans="6:6">
      <c r="F500" s="18"/>
    </row>
    <row r="501" spans="6:6">
      <c r="F501" s="18"/>
    </row>
    <row r="502" spans="6:6">
      <c r="F502" s="18"/>
    </row>
    <row r="503" spans="6:6">
      <c r="F503" s="18"/>
    </row>
    <row r="504" spans="6:6">
      <c r="F504" s="18"/>
    </row>
    <row r="505" spans="6:6">
      <c r="F505" s="18"/>
    </row>
    <row r="506" spans="6:6">
      <c r="F506" s="18"/>
    </row>
    <row r="507" spans="6:6">
      <c r="F507" s="18"/>
    </row>
    <row r="508" spans="6:6">
      <c r="F508" s="18"/>
    </row>
    <row r="509" spans="6:6">
      <c r="F509" s="18"/>
    </row>
    <row r="510" spans="6:6">
      <c r="F510" s="18"/>
    </row>
    <row r="511" spans="6:6">
      <c r="F511" s="18"/>
    </row>
    <row r="512" spans="6:6">
      <c r="F512" s="18"/>
    </row>
    <row r="513" spans="6:6">
      <c r="F513" s="18"/>
    </row>
    <row r="514" spans="6:6">
      <c r="F514" s="18"/>
    </row>
    <row r="515" spans="6:6">
      <c r="F515" s="18"/>
    </row>
    <row r="516" spans="6:6">
      <c r="F516" s="18"/>
    </row>
    <row r="517" spans="6:6">
      <c r="F517" s="18"/>
    </row>
    <row r="518" spans="6:6">
      <c r="F518" s="18"/>
    </row>
    <row r="519" spans="6:6">
      <c r="F519" s="18"/>
    </row>
    <row r="520" spans="6:6">
      <c r="F520" s="18"/>
    </row>
    <row r="521" spans="6:6">
      <c r="F521" s="18"/>
    </row>
    <row r="522" spans="6:6">
      <c r="F522" s="18"/>
    </row>
    <row r="523" spans="6:6">
      <c r="F523" s="18"/>
    </row>
    <row r="524" spans="6:6">
      <c r="F524" s="18"/>
    </row>
    <row r="525" spans="6:6">
      <c r="F525" s="18"/>
    </row>
    <row r="526" spans="6:6">
      <c r="F526" s="18"/>
    </row>
    <row r="527" spans="6:6">
      <c r="F527" s="18"/>
    </row>
    <row r="528" spans="6:6">
      <c r="F528" s="18"/>
    </row>
    <row r="529" spans="6:6">
      <c r="F529" s="18"/>
    </row>
    <row r="530" spans="6:6">
      <c r="F530" s="18"/>
    </row>
    <row r="531" spans="6:6">
      <c r="F531" s="18"/>
    </row>
    <row r="532" spans="6:6">
      <c r="F532" s="18"/>
    </row>
    <row r="533" spans="6:6">
      <c r="F533" s="18"/>
    </row>
    <row r="534" spans="6:6">
      <c r="F534" s="18"/>
    </row>
    <row r="535" spans="6:6">
      <c r="F535" s="18"/>
    </row>
    <row r="536" spans="6:6">
      <c r="F536" s="18"/>
    </row>
    <row r="537" spans="6:6">
      <c r="F537" s="18"/>
    </row>
    <row r="538" spans="6:6">
      <c r="F538" s="18"/>
    </row>
    <row r="539" spans="6:6">
      <c r="F539" s="18"/>
    </row>
    <row r="540" spans="6:6">
      <c r="F540" s="18"/>
    </row>
    <row r="541" spans="6:6">
      <c r="F541" s="18"/>
    </row>
    <row r="542" spans="6:6">
      <c r="F542" s="18"/>
    </row>
    <row r="543" spans="6:6">
      <c r="F543" s="18"/>
    </row>
    <row r="544" spans="6:6">
      <c r="F544" s="18"/>
    </row>
    <row r="545" spans="6:6">
      <c r="F545" s="18"/>
    </row>
    <row r="546" spans="6:6">
      <c r="F546" s="18"/>
    </row>
    <row r="547" spans="6:6">
      <c r="F547" s="18"/>
    </row>
    <row r="548" spans="6:6">
      <c r="F548" s="18"/>
    </row>
    <row r="549" spans="6:6">
      <c r="F549" s="18"/>
    </row>
    <row r="550" spans="6:6">
      <c r="F550" s="18"/>
    </row>
    <row r="551" spans="6:6">
      <c r="F551" s="18"/>
    </row>
    <row r="552" spans="6:6">
      <c r="F552" s="18"/>
    </row>
    <row r="553" spans="6:6">
      <c r="F553" s="18"/>
    </row>
    <row r="554" spans="6:6">
      <c r="F554" s="18"/>
    </row>
    <row r="555" spans="6:6">
      <c r="F555" s="18"/>
    </row>
    <row r="556" spans="6:6">
      <c r="F556" s="18"/>
    </row>
    <row r="557" spans="6:6">
      <c r="F557" s="18"/>
    </row>
    <row r="558" spans="6:6">
      <c r="F558" s="18"/>
    </row>
    <row r="559" spans="6:6">
      <c r="F559" s="18"/>
    </row>
    <row r="560" spans="6:6">
      <c r="F560" s="18"/>
    </row>
    <row r="561" spans="6:6">
      <c r="F561" s="18"/>
    </row>
    <row r="562" spans="6:6">
      <c r="F562" s="18"/>
    </row>
    <row r="563" spans="6:6">
      <c r="F563" s="18"/>
    </row>
    <row r="564" spans="6:6">
      <c r="F564" s="18"/>
    </row>
    <row r="565" spans="6:6">
      <c r="F565" s="18"/>
    </row>
    <row r="566" spans="6:6">
      <c r="F566" s="18"/>
    </row>
    <row r="567" spans="6:6">
      <c r="F567" s="18"/>
    </row>
    <row r="568" spans="6:6">
      <c r="F568" s="18"/>
    </row>
    <row r="569" spans="6:6">
      <c r="F569" s="18"/>
    </row>
    <row r="570" spans="6:6">
      <c r="F570" s="18"/>
    </row>
    <row r="571" spans="6:6">
      <c r="F571" s="18"/>
    </row>
    <row r="572" spans="6:6">
      <c r="F572" s="18"/>
    </row>
    <row r="573" spans="6:6">
      <c r="F573" s="18"/>
    </row>
    <row r="574" spans="6:6">
      <c r="F574" s="18"/>
    </row>
    <row r="575" spans="6:6">
      <c r="F575" s="18"/>
    </row>
    <row r="576" spans="6:6">
      <c r="F576" s="18"/>
    </row>
    <row r="577" spans="6:6">
      <c r="F577" s="18"/>
    </row>
    <row r="578" spans="6:6">
      <c r="F578" s="18"/>
    </row>
    <row r="579" spans="6:6">
      <c r="F579" s="18"/>
    </row>
    <row r="580" spans="6:6">
      <c r="F580" s="18"/>
    </row>
    <row r="581" spans="6:6">
      <c r="F581" s="18"/>
    </row>
    <row r="582" spans="6:6">
      <c r="F582" s="18"/>
    </row>
    <row r="583" spans="6:6">
      <c r="F583" s="18"/>
    </row>
    <row r="584" spans="6:6">
      <c r="F584" s="18"/>
    </row>
    <row r="585" spans="6:6">
      <c r="F585" s="18"/>
    </row>
    <row r="586" spans="6:6">
      <c r="F586" s="18"/>
    </row>
    <row r="587" spans="6:6">
      <c r="F587" s="18"/>
    </row>
    <row r="588" spans="6:6">
      <c r="F588" s="18"/>
    </row>
    <row r="589" spans="6:6">
      <c r="F589" s="18"/>
    </row>
    <row r="590" spans="6:6">
      <c r="F590" s="18"/>
    </row>
    <row r="591" spans="6:6">
      <c r="F591" s="18"/>
    </row>
    <row r="592" spans="6:6">
      <c r="F592" s="18"/>
    </row>
    <row r="593" spans="6:6">
      <c r="F593" s="18"/>
    </row>
    <row r="594" spans="6:6">
      <c r="F594" s="18"/>
    </row>
    <row r="595" spans="6:6">
      <c r="F595" s="18"/>
    </row>
    <row r="596" spans="6:6">
      <c r="F596" s="18"/>
    </row>
    <row r="597" spans="6:6">
      <c r="F597" s="18"/>
    </row>
    <row r="598" spans="6:6">
      <c r="F598" s="18"/>
    </row>
    <row r="599" spans="6:6">
      <c r="F599" s="18"/>
    </row>
    <row r="600" spans="6:6">
      <c r="F600" s="18"/>
    </row>
    <row r="601" spans="6:6">
      <c r="F601" s="18"/>
    </row>
    <row r="602" spans="6:6">
      <c r="F602" s="18"/>
    </row>
    <row r="603" spans="6:6">
      <c r="F603" s="18"/>
    </row>
    <row r="604" spans="6:6">
      <c r="F604" s="18"/>
    </row>
    <row r="605" spans="6:6">
      <c r="F605" s="18"/>
    </row>
    <row r="606" spans="6:6">
      <c r="F606" s="18"/>
    </row>
    <row r="607" spans="6:6">
      <c r="F607" s="18"/>
    </row>
    <row r="608" spans="6:6">
      <c r="F608" s="18"/>
    </row>
    <row r="609" spans="6:6">
      <c r="F609" s="18"/>
    </row>
    <row r="610" spans="6:6">
      <c r="F610" s="18"/>
    </row>
    <row r="611" spans="6:6">
      <c r="F611" s="18"/>
    </row>
    <row r="612" spans="6:6">
      <c r="F612" s="18"/>
    </row>
    <row r="613" spans="6:6">
      <c r="F613" s="18"/>
    </row>
    <row r="614" spans="6:6">
      <c r="F614" s="18"/>
    </row>
    <row r="615" spans="6:6">
      <c r="F615" s="18"/>
    </row>
    <row r="616" spans="6:6">
      <c r="F616" s="18"/>
    </row>
    <row r="617" spans="6:6">
      <c r="F617" s="18"/>
    </row>
    <row r="618" spans="6:6">
      <c r="F618" s="18"/>
    </row>
    <row r="619" spans="6:6">
      <c r="F619" s="18"/>
    </row>
    <row r="620" spans="6:6">
      <c r="F620" s="18"/>
    </row>
    <row r="621" spans="6:6">
      <c r="F621" s="18"/>
    </row>
    <row r="622" spans="6:6">
      <c r="F622" s="18"/>
    </row>
    <row r="623" spans="6:6">
      <c r="F623" s="18"/>
    </row>
    <row r="624" spans="6:6">
      <c r="F624" s="18"/>
    </row>
    <row r="625" spans="6:6">
      <c r="F625" s="18"/>
    </row>
    <row r="626" spans="6:6">
      <c r="F626" s="18"/>
    </row>
    <row r="627" spans="6:6">
      <c r="F627" s="18"/>
    </row>
    <row r="628" spans="6:6">
      <c r="F628" s="18"/>
    </row>
    <row r="629" spans="6:6">
      <c r="F629" s="18"/>
    </row>
    <row r="630" spans="6:6">
      <c r="F630" s="18"/>
    </row>
    <row r="631" spans="6:6">
      <c r="F631" s="18"/>
    </row>
    <row r="632" spans="6:6">
      <c r="F632" s="18"/>
    </row>
    <row r="633" spans="6:6">
      <c r="F633" s="18"/>
    </row>
    <row r="634" spans="6:6">
      <c r="F634" s="18"/>
    </row>
    <row r="635" spans="6:6">
      <c r="F635" s="18"/>
    </row>
    <row r="636" spans="6:6">
      <c r="F636" s="18"/>
    </row>
    <row r="637" spans="6:6">
      <c r="F637" s="18"/>
    </row>
    <row r="638" spans="6:6">
      <c r="F638" s="18"/>
    </row>
    <row r="639" spans="6:6">
      <c r="F639" s="18"/>
    </row>
    <row r="640" spans="6:6">
      <c r="F640" s="18"/>
    </row>
    <row r="641" spans="6:6">
      <c r="F641" s="18"/>
    </row>
    <row r="642" spans="6:6">
      <c r="F642" s="18"/>
    </row>
    <row r="643" spans="6:6">
      <c r="F643" s="18"/>
    </row>
    <row r="644" spans="6:6">
      <c r="F644" s="18"/>
    </row>
    <row r="645" spans="6:6">
      <c r="F645" s="18"/>
    </row>
    <row r="646" spans="6:6">
      <c r="F646" s="18"/>
    </row>
    <row r="647" spans="6:6">
      <c r="F647" s="18"/>
    </row>
    <row r="648" spans="6:6">
      <c r="F648" s="18"/>
    </row>
    <row r="649" spans="6:6">
      <c r="F649" s="18"/>
    </row>
    <row r="650" spans="6:6">
      <c r="F650" s="18"/>
    </row>
    <row r="651" spans="6:6">
      <c r="F651" s="18"/>
    </row>
    <row r="652" spans="6:6">
      <c r="F652" s="18"/>
    </row>
    <row r="653" spans="6:6">
      <c r="F653" s="18"/>
    </row>
    <row r="654" spans="6:6">
      <c r="F654" s="18"/>
    </row>
    <row r="655" spans="6:6">
      <c r="F655" s="18"/>
    </row>
    <row r="656" spans="6:6">
      <c r="F656" s="18"/>
    </row>
    <row r="657" spans="6:6">
      <c r="F657" s="18"/>
    </row>
    <row r="658" spans="6:6">
      <c r="F658" s="18"/>
    </row>
    <row r="659" spans="6:6">
      <c r="F659" s="18"/>
    </row>
    <row r="660" spans="6:6">
      <c r="F660" s="18"/>
    </row>
    <row r="661" spans="6:6">
      <c r="F661" s="18"/>
    </row>
    <row r="662" spans="6:6">
      <c r="F662" s="18"/>
    </row>
    <row r="663" spans="6:6">
      <c r="F663" s="18"/>
    </row>
    <row r="664" spans="6:6">
      <c r="F664" s="18"/>
    </row>
    <row r="665" spans="6:6">
      <c r="F665" s="18"/>
    </row>
    <row r="666" spans="6:6">
      <c r="F666" s="18"/>
    </row>
    <row r="667" spans="6:6">
      <c r="F667" s="18"/>
    </row>
    <row r="668" spans="6:6">
      <c r="F668" s="18"/>
    </row>
    <row r="669" spans="6:6">
      <c r="F669" s="18"/>
    </row>
    <row r="670" spans="6:6">
      <c r="F670" s="18"/>
    </row>
    <row r="671" spans="6:6">
      <c r="F671" s="18"/>
    </row>
    <row r="672" spans="6:6">
      <c r="F672" s="18"/>
    </row>
    <row r="673" spans="6:6">
      <c r="F673" s="18"/>
    </row>
    <row r="674" spans="6:6">
      <c r="F674" s="18"/>
    </row>
    <row r="675" spans="6:6">
      <c r="F675" s="18"/>
    </row>
    <row r="676" spans="6:6">
      <c r="F676" s="18"/>
    </row>
    <row r="677" spans="6:6">
      <c r="F677" s="18"/>
    </row>
    <row r="678" spans="6:6">
      <c r="F678" s="18"/>
    </row>
    <row r="679" spans="6:6">
      <c r="F679" s="18"/>
    </row>
    <row r="680" spans="6:6">
      <c r="F680" s="18"/>
    </row>
    <row r="681" spans="6:6">
      <c r="F681" s="18"/>
    </row>
    <row r="682" spans="6:6">
      <c r="F682" s="18"/>
    </row>
    <row r="683" spans="6:6">
      <c r="F683" s="18"/>
    </row>
    <row r="684" spans="6:6">
      <c r="F684" s="18"/>
    </row>
    <row r="685" spans="6:6">
      <c r="F685" s="18"/>
    </row>
    <row r="686" spans="6:6">
      <c r="F686" s="18"/>
    </row>
    <row r="687" spans="6:6">
      <c r="F687" s="18"/>
    </row>
    <row r="688" spans="6:6">
      <c r="F688" s="18"/>
    </row>
    <row r="689" spans="6:6">
      <c r="F689" s="18"/>
    </row>
    <row r="690" spans="6:6">
      <c r="F690" s="18"/>
    </row>
    <row r="691" spans="6:6">
      <c r="F691" s="18"/>
    </row>
    <row r="692" spans="6:6">
      <c r="F692" s="18"/>
    </row>
    <row r="693" spans="6:6">
      <c r="F693" s="18"/>
    </row>
    <row r="694" spans="6:6">
      <c r="F694" s="18"/>
    </row>
    <row r="695" spans="6:6">
      <c r="F695" s="18"/>
    </row>
    <row r="696" spans="6:6">
      <c r="F696" s="18"/>
    </row>
    <row r="697" spans="6:6">
      <c r="F697" s="18"/>
    </row>
    <row r="698" spans="6:6">
      <c r="F698" s="18"/>
    </row>
    <row r="699" spans="6:6">
      <c r="F699" s="18"/>
    </row>
    <row r="700" spans="6:6">
      <c r="F700" s="18"/>
    </row>
    <row r="701" spans="6:6">
      <c r="F701" s="18"/>
    </row>
    <row r="702" spans="6:6">
      <c r="F702" s="18"/>
    </row>
    <row r="703" spans="6:6">
      <c r="F703" s="18"/>
    </row>
    <row r="704" spans="6:6">
      <c r="F704" s="18"/>
    </row>
    <row r="705" spans="6:6">
      <c r="F705" s="18"/>
    </row>
    <row r="706" spans="6:6">
      <c r="F706" s="18"/>
    </row>
    <row r="707" spans="6:6">
      <c r="F707" s="18"/>
    </row>
    <row r="708" spans="6:6">
      <c r="F708" s="18"/>
    </row>
    <row r="709" spans="6:6">
      <c r="F709" s="18"/>
    </row>
    <row r="710" spans="6:6">
      <c r="F710" s="18"/>
    </row>
    <row r="711" spans="6:6">
      <c r="F711" s="18"/>
    </row>
    <row r="712" spans="6:6">
      <c r="F712" s="18"/>
    </row>
    <row r="713" spans="6:6">
      <c r="F713" s="18"/>
    </row>
    <row r="714" spans="6:6">
      <c r="F714" s="18"/>
    </row>
    <row r="715" spans="6:6">
      <c r="F715" s="18"/>
    </row>
    <row r="716" spans="6:6">
      <c r="F716" s="18"/>
    </row>
    <row r="717" spans="6:6">
      <c r="F717" s="18"/>
    </row>
    <row r="718" spans="6:6">
      <c r="F718" s="18"/>
    </row>
    <row r="719" spans="6:6">
      <c r="F719" s="18"/>
    </row>
    <row r="720" spans="6:6">
      <c r="F720" s="18"/>
    </row>
    <row r="721" spans="6:6">
      <c r="F721" s="18"/>
    </row>
    <row r="722" spans="6:6">
      <c r="F722" s="18"/>
    </row>
    <row r="723" spans="6:6">
      <c r="F723" s="18"/>
    </row>
    <row r="724" spans="6:6">
      <c r="F724" s="18"/>
    </row>
    <row r="725" spans="6:6">
      <c r="F725" s="18"/>
    </row>
    <row r="726" spans="6:6">
      <c r="F726" s="18"/>
    </row>
    <row r="727" spans="6:6">
      <c r="F727" s="18"/>
    </row>
    <row r="728" spans="6:6">
      <c r="F728" s="18"/>
    </row>
    <row r="729" spans="6:6">
      <c r="F729" s="18"/>
    </row>
    <row r="730" spans="6:6">
      <c r="F730" s="18"/>
    </row>
    <row r="731" spans="6:6">
      <c r="F731" s="18"/>
    </row>
    <row r="732" spans="6:6">
      <c r="F732" s="18"/>
    </row>
    <row r="733" spans="6:6">
      <c r="F733" s="18"/>
    </row>
    <row r="734" spans="6:6">
      <c r="F734" s="18"/>
    </row>
    <row r="735" spans="6:6">
      <c r="F735" s="18"/>
    </row>
    <row r="736" spans="6:6">
      <c r="F736" s="18"/>
    </row>
    <row r="737" spans="6:6">
      <c r="F737" s="18"/>
    </row>
    <row r="738" spans="6:6">
      <c r="F738" s="18"/>
    </row>
    <row r="739" spans="6:6">
      <c r="F739" s="18"/>
    </row>
    <row r="740" spans="6:6">
      <c r="F740" s="18"/>
    </row>
    <row r="741" spans="6:6">
      <c r="F741" s="18"/>
    </row>
    <row r="742" spans="6:6">
      <c r="F742" s="18"/>
    </row>
    <row r="743" spans="6:6">
      <c r="F743" s="18"/>
    </row>
    <row r="744" spans="6:6">
      <c r="F744" s="18"/>
    </row>
    <row r="745" spans="6:6">
      <c r="F745" s="18"/>
    </row>
    <row r="746" spans="6:6">
      <c r="F746" s="18"/>
    </row>
    <row r="747" spans="6:6">
      <c r="F747" s="18"/>
    </row>
    <row r="748" spans="6:6">
      <c r="F748" s="18"/>
    </row>
    <row r="749" spans="6:6">
      <c r="F749" s="18"/>
    </row>
    <row r="750" spans="6:6">
      <c r="F750" s="18"/>
    </row>
    <row r="751" spans="6:6">
      <c r="F751" s="18"/>
    </row>
    <row r="752" spans="6:6">
      <c r="F752" s="18"/>
    </row>
    <row r="753" spans="6:6">
      <c r="F753" s="18"/>
    </row>
    <row r="754" spans="6:6">
      <c r="F754" s="18"/>
    </row>
    <row r="755" spans="6:6">
      <c r="F755" s="18"/>
    </row>
    <row r="756" spans="6:6">
      <c r="F756" s="18"/>
    </row>
    <row r="757" spans="6:6">
      <c r="F757" s="18"/>
    </row>
    <row r="758" spans="6:6">
      <c r="F758" s="18"/>
    </row>
    <row r="759" spans="6:6">
      <c r="F759" s="18"/>
    </row>
    <row r="760" spans="6:6">
      <c r="F760" s="18"/>
    </row>
    <row r="761" spans="6:6">
      <c r="F761" s="18"/>
    </row>
    <row r="762" spans="6:6">
      <c r="F762" s="18"/>
    </row>
    <row r="763" spans="6:6">
      <c r="F763" s="18"/>
    </row>
    <row r="764" spans="6:6">
      <c r="F764" s="18"/>
    </row>
    <row r="765" spans="6:6">
      <c r="F765" s="18"/>
    </row>
    <row r="766" spans="6:6">
      <c r="F766" s="18"/>
    </row>
    <row r="767" spans="6:6">
      <c r="F767" s="18"/>
    </row>
    <row r="768" spans="6:6">
      <c r="F768" s="18"/>
    </row>
    <row r="769" spans="6:6">
      <c r="F769" s="18"/>
    </row>
    <row r="770" spans="6:6">
      <c r="F770" s="18"/>
    </row>
    <row r="771" spans="6:6">
      <c r="F771" s="18"/>
    </row>
    <row r="772" spans="6:6">
      <c r="F772" s="18"/>
    </row>
    <row r="773" spans="6:6">
      <c r="F773" s="18"/>
    </row>
    <row r="774" spans="6:6">
      <c r="F774" s="18"/>
    </row>
    <row r="775" spans="6:6">
      <c r="F775" s="18"/>
    </row>
    <row r="776" spans="6:6">
      <c r="F776" s="18"/>
    </row>
    <row r="777" spans="6:6">
      <c r="F777" s="18"/>
    </row>
    <row r="778" spans="6:6">
      <c r="F778" s="18"/>
    </row>
    <row r="779" spans="6:6">
      <c r="F779" s="18"/>
    </row>
    <row r="780" spans="6:6">
      <c r="F780" s="18"/>
    </row>
    <row r="781" spans="6:6">
      <c r="F781" s="18"/>
    </row>
    <row r="782" spans="6:6">
      <c r="F782" s="18"/>
    </row>
    <row r="783" spans="6:6">
      <c r="F783" s="18"/>
    </row>
    <row r="784" spans="6:6">
      <c r="F784" s="18"/>
    </row>
    <row r="785" spans="6:6">
      <c r="F785" s="18"/>
    </row>
    <row r="786" spans="6:6">
      <c r="F786" s="18"/>
    </row>
    <row r="787" spans="6:6">
      <c r="F787" s="18"/>
    </row>
    <row r="788" spans="6:6">
      <c r="F788" s="18"/>
    </row>
    <row r="789" spans="6:6">
      <c r="F789" s="18"/>
    </row>
    <row r="790" spans="6:6">
      <c r="F790" s="18"/>
    </row>
    <row r="791" spans="6:6">
      <c r="F791" s="18"/>
    </row>
    <row r="792" spans="6:6">
      <c r="F792" s="18"/>
    </row>
    <row r="793" spans="6:6">
      <c r="F793" s="18"/>
    </row>
    <row r="794" spans="6:6">
      <c r="F794" s="18"/>
    </row>
    <row r="795" spans="6:6">
      <c r="F795" s="18"/>
    </row>
    <row r="796" spans="6:6">
      <c r="F796" s="18"/>
    </row>
    <row r="797" spans="6:6">
      <c r="F797" s="18"/>
    </row>
    <row r="798" spans="6:6">
      <c r="F798" s="18"/>
    </row>
    <row r="799" spans="6:6">
      <c r="F799" s="18"/>
    </row>
    <row r="800" spans="6:6">
      <c r="F800" s="18"/>
    </row>
    <row r="801" spans="6:6">
      <c r="F801" s="18"/>
    </row>
    <row r="802" spans="6:6">
      <c r="F802" s="18"/>
    </row>
    <row r="803" spans="6:6">
      <c r="F803" s="18"/>
    </row>
    <row r="804" spans="6:6">
      <c r="F804" s="18"/>
    </row>
    <row r="805" spans="6:6">
      <c r="F805" s="18"/>
    </row>
    <row r="806" spans="6:6">
      <c r="F806" s="18"/>
    </row>
    <row r="807" spans="6:6">
      <c r="F807" s="18"/>
    </row>
    <row r="808" spans="6:6">
      <c r="F808" s="18"/>
    </row>
    <row r="809" spans="6:6">
      <c r="F809" s="18"/>
    </row>
    <row r="810" spans="6:6">
      <c r="F810" s="18"/>
    </row>
    <row r="811" spans="6:6">
      <c r="F811" s="18"/>
    </row>
    <row r="812" spans="6:6">
      <c r="F812" s="18"/>
    </row>
    <row r="813" spans="6:6">
      <c r="F813" s="18"/>
    </row>
    <row r="814" spans="6:6">
      <c r="F814" s="18"/>
    </row>
    <row r="815" spans="6:6">
      <c r="F815" s="18"/>
    </row>
    <row r="816" spans="6:6">
      <c r="F816" s="18"/>
    </row>
    <row r="817" spans="6:6">
      <c r="F817" s="18"/>
    </row>
    <row r="818" spans="6:6">
      <c r="F818" s="18"/>
    </row>
    <row r="819" spans="6:6">
      <c r="F819" s="18"/>
    </row>
    <row r="820" spans="6:6">
      <c r="F820" s="18"/>
    </row>
    <row r="821" spans="6:6">
      <c r="F821" s="18"/>
    </row>
    <row r="822" spans="6:6">
      <c r="F822" s="18"/>
    </row>
    <row r="823" spans="6:6">
      <c r="F823" s="18"/>
    </row>
    <row r="824" spans="6:6">
      <c r="F824" s="18"/>
    </row>
    <row r="825" spans="6:6">
      <c r="F825" s="18"/>
    </row>
    <row r="826" spans="6:6">
      <c r="F826" s="18"/>
    </row>
    <row r="827" spans="6:6">
      <c r="F827" s="18"/>
    </row>
    <row r="828" spans="6:6">
      <c r="F828" s="18"/>
    </row>
    <row r="829" spans="6:6">
      <c r="F829" s="18"/>
    </row>
    <row r="830" spans="6:6">
      <c r="F830" s="18"/>
    </row>
    <row r="831" spans="6:6">
      <c r="F831" s="18"/>
    </row>
    <row r="832" spans="6:6">
      <c r="F832" s="18"/>
    </row>
    <row r="833" spans="6:6">
      <c r="F833" s="18"/>
    </row>
    <row r="834" spans="6:6">
      <c r="F834" s="18"/>
    </row>
    <row r="835" spans="6:6">
      <c r="F835" s="18"/>
    </row>
    <row r="836" spans="6:6">
      <c r="F836" s="18"/>
    </row>
    <row r="837" spans="6:6">
      <c r="F837" s="18"/>
    </row>
    <row r="838" spans="6:6">
      <c r="F838" s="18"/>
    </row>
    <row r="839" spans="6:6">
      <c r="F839" s="18"/>
    </row>
    <row r="840" spans="6:6">
      <c r="F840" s="18"/>
    </row>
    <row r="841" spans="6:6">
      <c r="F841" s="18"/>
    </row>
    <row r="842" spans="6:6">
      <c r="F842" s="18"/>
    </row>
    <row r="843" spans="6:6">
      <c r="F843" s="18"/>
    </row>
    <row r="844" spans="6:6">
      <c r="F844" s="18"/>
    </row>
    <row r="845" spans="6:6">
      <c r="F845" s="18"/>
    </row>
    <row r="846" spans="6:6">
      <c r="F846" s="18"/>
    </row>
    <row r="847" spans="6:6">
      <c r="F847" s="18"/>
    </row>
    <row r="848" spans="6:6">
      <c r="F848" s="18"/>
    </row>
    <row r="849" spans="6:6">
      <c r="F849" s="18"/>
    </row>
    <row r="850" spans="6:6">
      <c r="F850" s="18"/>
    </row>
    <row r="851" spans="6:6">
      <c r="F851" s="18"/>
    </row>
    <row r="852" spans="6:6">
      <c r="F852" s="18"/>
    </row>
    <row r="853" spans="6:6">
      <c r="F853" s="18"/>
    </row>
    <row r="854" spans="6:6">
      <c r="F854" s="18"/>
    </row>
    <row r="855" spans="6:6">
      <c r="F855" s="18"/>
    </row>
    <row r="856" spans="6:6">
      <c r="F856" s="18"/>
    </row>
    <row r="857" spans="6:6">
      <c r="F857" s="18"/>
    </row>
    <row r="858" spans="6:6">
      <c r="F858" s="18"/>
    </row>
    <row r="859" spans="6:6">
      <c r="F859" s="18"/>
    </row>
    <row r="860" spans="6:6">
      <c r="F860" s="18"/>
    </row>
    <row r="861" spans="6:6">
      <c r="F861" s="18"/>
    </row>
    <row r="862" spans="6:6">
      <c r="F862" s="18"/>
    </row>
    <row r="863" spans="6:6">
      <c r="F863" s="18"/>
    </row>
    <row r="864" spans="6:6">
      <c r="F864" s="18"/>
    </row>
    <row r="865" spans="6:6">
      <c r="F865" s="18"/>
    </row>
    <row r="866" spans="6:6">
      <c r="F866" s="18"/>
    </row>
    <row r="867" spans="6:6">
      <c r="F867" s="18"/>
    </row>
    <row r="868" spans="6:6">
      <c r="F868" s="18"/>
    </row>
    <row r="869" spans="6:6">
      <c r="F869" s="18"/>
    </row>
    <row r="870" spans="6:6">
      <c r="F870" s="18"/>
    </row>
    <row r="871" spans="6:6">
      <c r="F871" s="18"/>
    </row>
    <row r="872" spans="6:6">
      <c r="F872" s="18"/>
    </row>
    <row r="873" spans="6:6">
      <c r="F873" s="18"/>
    </row>
    <row r="874" spans="6:6">
      <c r="F874" s="18"/>
    </row>
    <row r="875" spans="6:6">
      <c r="F875" s="18"/>
    </row>
    <row r="876" spans="6:6">
      <c r="F876" s="18"/>
    </row>
    <row r="877" spans="6:6">
      <c r="F877" s="18"/>
    </row>
    <row r="878" spans="6:6">
      <c r="F878" s="18"/>
    </row>
    <row r="879" spans="6:6">
      <c r="F879" s="18"/>
    </row>
    <row r="880" spans="6:6">
      <c r="F880" s="18"/>
    </row>
    <row r="881" spans="6:6">
      <c r="F881" s="18"/>
    </row>
    <row r="882" spans="6:6">
      <c r="F882" s="18"/>
    </row>
    <row r="883" spans="6:6">
      <c r="F883" s="18"/>
    </row>
    <row r="884" spans="6:6">
      <c r="F884" s="18"/>
    </row>
    <row r="885" spans="6:6">
      <c r="F885" s="18"/>
    </row>
    <row r="886" spans="6:6">
      <c r="F886" s="18"/>
    </row>
    <row r="887" spans="6:6">
      <c r="F887" s="18"/>
    </row>
    <row r="888" spans="6:6">
      <c r="F888" s="18"/>
    </row>
    <row r="889" spans="6:6">
      <c r="F889" s="18"/>
    </row>
    <row r="890" spans="6:6">
      <c r="F890" s="18"/>
    </row>
    <row r="891" spans="6:6">
      <c r="F891" s="18"/>
    </row>
    <row r="892" spans="6:6">
      <c r="F892" s="18"/>
    </row>
    <row r="893" spans="6:6">
      <c r="F893" s="18"/>
    </row>
    <row r="894" spans="6:6">
      <c r="F894" s="18"/>
    </row>
    <row r="895" spans="6:6">
      <c r="F895" s="18"/>
    </row>
    <row r="896" spans="6:6">
      <c r="F896" s="18"/>
    </row>
    <row r="897" spans="6:6">
      <c r="F897" s="18"/>
    </row>
    <row r="898" spans="6:6">
      <c r="F898" s="18"/>
    </row>
    <row r="899" spans="6:6">
      <c r="F899" s="18"/>
    </row>
    <row r="900" spans="6:6">
      <c r="F900" s="18"/>
    </row>
    <row r="901" spans="6:6">
      <c r="F901" s="18"/>
    </row>
    <row r="902" spans="6:6">
      <c r="F902" s="18"/>
    </row>
    <row r="903" spans="6:6">
      <c r="F903" s="18"/>
    </row>
    <row r="904" spans="6:6">
      <c r="F904" s="18"/>
    </row>
    <row r="905" spans="6:6">
      <c r="F905" s="18"/>
    </row>
    <row r="906" spans="6:6">
      <c r="F906" s="18"/>
    </row>
    <row r="907" spans="6:6">
      <c r="F907" s="18"/>
    </row>
    <row r="908" spans="6:6">
      <c r="F908" s="18"/>
    </row>
    <row r="909" spans="6:6">
      <c r="F909" s="18"/>
    </row>
    <row r="910" spans="6:6">
      <c r="F910" s="18"/>
    </row>
    <row r="911" spans="6:6">
      <c r="F911" s="18"/>
    </row>
    <row r="912" spans="6:6">
      <c r="F912" s="18"/>
    </row>
    <row r="913" spans="6:6">
      <c r="F913" s="18"/>
    </row>
    <row r="914" spans="6:6">
      <c r="F914" s="18"/>
    </row>
    <row r="915" spans="6:6">
      <c r="F915" s="18"/>
    </row>
    <row r="916" spans="6:6">
      <c r="F916" s="18"/>
    </row>
    <row r="917" spans="6:6">
      <c r="F917" s="18"/>
    </row>
    <row r="918" spans="6:6">
      <c r="F918" s="18"/>
    </row>
    <row r="919" spans="6:6">
      <c r="F919" s="18"/>
    </row>
    <row r="920" spans="6:6">
      <c r="F920" s="18"/>
    </row>
    <row r="921" spans="6:6">
      <c r="F921" s="18"/>
    </row>
    <row r="922" spans="6:6">
      <c r="F922" s="18"/>
    </row>
    <row r="923" spans="6:6">
      <c r="F923" s="18"/>
    </row>
    <row r="924" spans="6:6">
      <c r="F924" s="18"/>
    </row>
    <row r="925" spans="6:6">
      <c r="F925" s="18"/>
    </row>
    <row r="926" spans="6:6">
      <c r="F926" s="18"/>
    </row>
    <row r="927" spans="6:6">
      <c r="F927" s="18"/>
    </row>
    <row r="928" spans="6:6">
      <c r="F928" s="18"/>
    </row>
    <row r="929" spans="6:6">
      <c r="F929" s="18"/>
    </row>
    <row r="930" spans="6:6">
      <c r="F930" s="18"/>
    </row>
    <row r="931" spans="6:6">
      <c r="F931" s="18"/>
    </row>
    <row r="932" spans="6:6">
      <c r="F932" s="18"/>
    </row>
    <row r="933" spans="6:6">
      <c r="F933" s="18"/>
    </row>
    <row r="934" spans="6:6">
      <c r="F934" s="18"/>
    </row>
    <row r="935" spans="6:6">
      <c r="F935" s="18"/>
    </row>
    <row r="936" spans="6:6">
      <c r="F936" s="18"/>
    </row>
    <row r="937" spans="6:6">
      <c r="F937" s="18"/>
    </row>
    <row r="938" spans="6:6">
      <c r="F938" s="18"/>
    </row>
    <row r="939" spans="6:6">
      <c r="F939" s="18"/>
    </row>
    <row r="940" spans="6:6">
      <c r="F940" s="18"/>
    </row>
    <row r="941" spans="6:6">
      <c r="F941" s="18"/>
    </row>
    <row r="942" spans="6:6">
      <c r="F942" s="18"/>
    </row>
    <row r="943" spans="6:6">
      <c r="F943" s="18"/>
    </row>
    <row r="944" spans="6:6">
      <c r="F944" s="18"/>
    </row>
    <row r="945" spans="6:6">
      <c r="F945" s="18"/>
    </row>
    <row r="946" spans="6:6">
      <c r="F946" s="18"/>
    </row>
    <row r="947" spans="6:6">
      <c r="F947" s="18"/>
    </row>
    <row r="948" spans="6:6">
      <c r="F948" s="18"/>
    </row>
    <row r="949" spans="6:6">
      <c r="F949" s="18"/>
    </row>
    <row r="950" spans="6:6">
      <c r="F950" s="18"/>
    </row>
    <row r="951" spans="6:6">
      <c r="F951" s="18"/>
    </row>
    <row r="952" spans="6:6">
      <c r="F952" s="18"/>
    </row>
    <row r="953" spans="6:6">
      <c r="F953" s="18"/>
    </row>
    <row r="954" spans="6:6">
      <c r="F954" s="18"/>
    </row>
    <row r="955" spans="6:6">
      <c r="F955" s="18"/>
    </row>
    <row r="956" spans="6:6">
      <c r="F956" s="18"/>
    </row>
    <row r="957" spans="6:6">
      <c r="F957" s="18"/>
    </row>
    <row r="958" spans="6:6">
      <c r="F958" s="18"/>
    </row>
    <row r="959" spans="6:6">
      <c r="F959" s="18"/>
    </row>
    <row r="960" spans="6:6">
      <c r="F960" s="18"/>
    </row>
    <row r="961" spans="6:6">
      <c r="F961" s="18"/>
    </row>
    <row r="962" spans="6:6">
      <c r="F962" s="18"/>
    </row>
    <row r="963" spans="6:6">
      <c r="F963" s="18"/>
    </row>
    <row r="964" spans="6:6">
      <c r="F964" s="18"/>
    </row>
    <row r="965" spans="6:6">
      <c r="F965" s="18"/>
    </row>
    <row r="966" spans="6:6">
      <c r="F966" s="18"/>
    </row>
    <row r="967" spans="6:6">
      <c r="F967" s="18"/>
    </row>
    <row r="968" spans="6:6">
      <c r="F968" s="18"/>
    </row>
    <row r="969" spans="6:6">
      <c r="F969" s="18"/>
    </row>
    <row r="970" spans="6:6">
      <c r="F970" s="18"/>
    </row>
    <row r="971" spans="6:6">
      <c r="F971" s="18"/>
    </row>
    <row r="972" spans="6:6">
      <c r="F972" s="18"/>
    </row>
    <row r="973" spans="6:6">
      <c r="F973" s="18"/>
    </row>
    <row r="974" spans="6:6">
      <c r="F974" s="18"/>
    </row>
    <row r="975" spans="6:6">
      <c r="F975" s="18"/>
    </row>
    <row r="976" spans="6:6">
      <c r="F976" s="18"/>
    </row>
    <row r="977" spans="6:6">
      <c r="F977" s="18"/>
    </row>
    <row r="978" spans="6:6">
      <c r="F978" s="18"/>
    </row>
    <row r="979" spans="6:6">
      <c r="F979" s="18"/>
    </row>
    <row r="980" spans="6:6">
      <c r="F980" s="18"/>
    </row>
    <row r="981" spans="6:6">
      <c r="F981" s="18"/>
    </row>
    <row r="982" spans="6:6">
      <c r="F982" s="18"/>
    </row>
    <row r="983" spans="6:6">
      <c r="F983" s="18"/>
    </row>
    <row r="984" spans="6:6">
      <c r="F984" s="18"/>
    </row>
    <row r="985" spans="6:6">
      <c r="F985" s="18"/>
    </row>
    <row r="986" spans="6:6">
      <c r="F986" s="18"/>
    </row>
    <row r="987" spans="6:6">
      <c r="F987" s="18"/>
    </row>
    <row r="988" spans="6:6">
      <c r="F988" s="18"/>
    </row>
    <row r="989" spans="6:6">
      <c r="F989" s="18"/>
    </row>
    <row r="990" spans="6:6">
      <c r="F990" s="18"/>
    </row>
    <row r="991" spans="6:6">
      <c r="F991" s="18"/>
    </row>
    <row r="992" spans="6:6">
      <c r="F992" s="18"/>
    </row>
    <row r="993" spans="6:6">
      <c r="F993" s="18"/>
    </row>
    <row r="994" spans="6:6">
      <c r="F994" s="18"/>
    </row>
    <row r="995" spans="6:6">
      <c r="F995" s="18"/>
    </row>
    <row r="996" spans="6:6">
      <c r="F996" s="18"/>
    </row>
    <row r="997" spans="6:6">
      <c r="F997" s="18"/>
    </row>
    <row r="998" spans="6:6">
      <c r="F998" s="18"/>
    </row>
    <row r="999" spans="6:6">
      <c r="F999" s="18"/>
    </row>
    <row r="1000" spans="6:6">
      <c r="F1000" s="18"/>
    </row>
  </sheetData>
  <autoFilter ref="B1:G80" xr:uid="{00000000-0009-0000-0000-000003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22"/>
  <sheetViews>
    <sheetView tabSelected="1" workbookViewId="0">
      <selection activeCell="D13" sqref="D13"/>
    </sheetView>
  </sheetViews>
  <sheetFormatPr defaultColWidth="14.42578125" defaultRowHeight="15" customHeight="1"/>
  <cols>
    <col min="3" max="3" width="24.140625" customWidth="1"/>
    <col min="4" max="4" width="11" customWidth="1"/>
    <col min="5" max="5" width="10.85546875" customWidth="1"/>
    <col min="6" max="6" width="23.85546875" customWidth="1"/>
    <col min="7" max="7" width="17.5703125" customWidth="1"/>
    <col min="8" max="8" width="11.85546875" customWidth="1"/>
    <col min="9" max="9" width="22.85546875" customWidth="1"/>
    <col min="10" max="10" width="8.85546875" customWidth="1"/>
  </cols>
  <sheetData>
    <row r="1" spans="1:9">
      <c r="A1" s="1"/>
      <c r="B1" s="1" t="s">
        <v>3560</v>
      </c>
    </row>
    <row r="2" spans="1:9">
      <c r="E2" s="23"/>
      <c r="F2" s="23"/>
      <c r="G2" s="23"/>
    </row>
    <row r="4" spans="1:9">
      <c r="B4" s="38" t="s">
        <v>3561</v>
      </c>
      <c r="C4" s="39"/>
      <c r="D4" s="40">
        <f>COUNTA( Papers!C:C ) - 1</f>
        <v>599</v>
      </c>
      <c r="E4" s="39"/>
    </row>
    <row r="5" spans="1:9">
      <c r="C5" s="23"/>
      <c r="D5" s="23"/>
      <c r="E5" s="23"/>
      <c r="F5" s="23"/>
      <c r="G5" s="23"/>
      <c r="H5" s="1"/>
    </row>
    <row r="6" spans="1:9">
      <c r="C6" s="23"/>
      <c r="D6" s="24" t="s">
        <v>3562</v>
      </c>
      <c r="E6" s="25" t="s">
        <v>3563</v>
      </c>
      <c r="F6" s="23"/>
      <c r="G6" s="23"/>
      <c r="H6" s="1"/>
    </row>
    <row r="7" spans="1:9">
      <c r="A7" s="26"/>
      <c r="B7" s="41" t="s">
        <v>3564</v>
      </c>
      <c r="C7" s="27" t="s">
        <v>3565</v>
      </c>
      <c r="D7" s="28">
        <f>COUNTIF( Papers!E:E, "Yes" )</f>
        <v>266</v>
      </c>
      <c r="E7" s="29">
        <f t="shared" ref="E7:E8" si="0">D7/$D$4</f>
        <v>0.44407345575959933</v>
      </c>
      <c r="G7" s="1" t="s">
        <v>3359</v>
      </c>
    </row>
    <row r="8" spans="1:9">
      <c r="A8" s="26"/>
      <c r="B8" s="42"/>
      <c r="C8" s="30" t="s">
        <v>3566</v>
      </c>
      <c r="D8" s="19">
        <f>COUNTIF( Papers!E:E, "No" )</f>
        <v>333</v>
      </c>
      <c r="E8" s="31">
        <f t="shared" si="0"/>
        <v>0.55592654424040067</v>
      </c>
      <c r="G8" s="1" t="s">
        <v>3355</v>
      </c>
    </row>
    <row r="9" spans="1:9">
      <c r="A9" s="26"/>
      <c r="B9" s="43"/>
      <c r="C9" s="32" t="s">
        <v>3567</v>
      </c>
      <c r="D9" s="44" t="str">
        <f>IF(SUM(D7:D8)=$D$4,"OK","KO")</f>
        <v>OK</v>
      </c>
      <c r="E9" s="45"/>
      <c r="G9" s="1" t="s">
        <v>3361</v>
      </c>
    </row>
    <row r="10" spans="1:9">
      <c r="A10" s="26"/>
      <c r="B10" s="46" t="s">
        <v>3574</v>
      </c>
      <c r="C10" s="27" t="s">
        <v>3565</v>
      </c>
      <c r="D10" s="28">
        <f>COUNTIF( Papers!F:F, "Yes" )</f>
        <v>47</v>
      </c>
      <c r="E10" s="29">
        <f t="shared" ref="E10:E11" si="1">D10/$D$4</f>
        <v>7.8464106844741241E-2</v>
      </c>
    </row>
    <row r="11" spans="1:9">
      <c r="A11" s="26"/>
      <c r="B11" s="47"/>
      <c r="C11" s="30" t="s">
        <v>3566</v>
      </c>
      <c r="D11" s="19">
        <f>COUNTIF( Papers!F:F, "No" )</f>
        <v>552</v>
      </c>
      <c r="E11" s="31">
        <f t="shared" si="1"/>
        <v>0.92153589315525875</v>
      </c>
    </row>
    <row r="12" spans="1:9" ht="15.75" thickBot="1">
      <c r="A12" s="26"/>
      <c r="B12" s="48"/>
      <c r="C12" s="32" t="s">
        <v>3567</v>
      </c>
      <c r="D12" s="44" t="str">
        <f>IF(SUM(D10:D11)=$D$4,"OK","KO")</f>
        <v>OK</v>
      </c>
      <c r="E12" s="45"/>
    </row>
    <row r="13" spans="1:9" ht="15" customHeight="1" thickTop="1">
      <c r="B13" s="46" t="s">
        <v>3575</v>
      </c>
      <c r="C13" s="27" t="s">
        <v>3565</v>
      </c>
      <c r="D13" s="28">
        <f>COUNTIFS( Papers!E:E, "Yes", Papers!F:F, "Yes" )</f>
        <v>47</v>
      </c>
      <c r="E13" s="29">
        <f>D13/$D$7</f>
        <v>0.17669172932330826</v>
      </c>
      <c r="I13" s="49"/>
    </row>
    <row r="14" spans="1:9">
      <c r="B14" s="47"/>
      <c r="C14" s="30" t="s">
        <v>3566</v>
      </c>
      <c r="D14" s="19">
        <f>COUNTIFS( Papers!E:E, "Yes", Papers!F:F, "No" )</f>
        <v>219</v>
      </c>
      <c r="E14" s="31">
        <f>D14/$D$7</f>
        <v>0.82330827067669177</v>
      </c>
      <c r="I14" s="49"/>
    </row>
    <row r="15" spans="1:9" ht="15.75" thickBot="1">
      <c r="B15" s="48"/>
      <c r="C15" s="32" t="s">
        <v>3567</v>
      </c>
      <c r="D15" s="44" t="str">
        <f>IF(SUM(D13:D14)=$D$7,"OK","KO")</f>
        <v>OK</v>
      </c>
      <c r="E15" s="45"/>
    </row>
    <row r="16" spans="1:9" ht="15.75" thickTop="1"/>
    <row r="17" spans="3:5" ht="15.75" thickBot="1"/>
    <row r="18" spans="3:5" ht="15" customHeight="1" thickTop="1">
      <c r="C18" s="33" t="s">
        <v>3568</v>
      </c>
      <c r="D18" s="28">
        <f>COUNTIFS(    Papers!F:F, "Yes",  Papers!D:D, G7  )</f>
        <v>24</v>
      </c>
      <c r="E18" s="29">
        <f t="shared" ref="E18:E20" si="2">D18/$D$10</f>
        <v>0.51063829787234039</v>
      </c>
    </row>
    <row r="19" spans="3:5" ht="15" customHeight="1">
      <c r="C19" s="34" t="s">
        <v>3569</v>
      </c>
      <c r="D19" s="19">
        <f>COUNTIFS(    Papers!F:F, "Yes",  Papers!D:D, G8  )</f>
        <v>22</v>
      </c>
      <c r="E19" s="31">
        <f t="shared" si="2"/>
        <v>0.46808510638297873</v>
      </c>
    </row>
    <row r="20" spans="3:5" ht="15" customHeight="1">
      <c r="C20" s="34" t="s">
        <v>3570</v>
      </c>
      <c r="D20" s="19">
        <f>COUNTIFS(    Papers!F:F, "Yes",  Papers!D:D, G9  )</f>
        <v>1</v>
      </c>
      <c r="E20" s="31">
        <f t="shared" si="2"/>
        <v>2.1276595744680851E-2</v>
      </c>
    </row>
    <row r="21" spans="3:5" ht="15" customHeight="1" thickBot="1">
      <c r="C21" s="35" t="s">
        <v>3567</v>
      </c>
      <c r="D21" s="44" t="str">
        <f>IF(SUM(D18:D20)=D10,"OK","KO")</f>
        <v>OK</v>
      </c>
      <c r="E21" s="45"/>
    </row>
    <row r="22" spans="3:5" ht="15" customHeight="1" thickTop="1"/>
  </sheetData>
  <mergeCells count="9">
    <mergeCell ref="B13:B15"/>
    <mergeCell ref="D15:E15"/>
    <mergeCell ref="D21:E21"/>
    <mergeCell ref="B4:C4"/>
    <mergeCell ref="D4:E4"/>
    <mergeCell ref="B7:B9"/>
    <mergeCell ref="D9:E9"/>
    <mergeCell ref="B10:B12"/>
    <mergeCell ref="D12:E1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1000"/>
  <sheetViews>
    <sheetView workbookViewId="0"/>
  </sheetViews>
  <sheetFormatPr defaultColWidth="14.42578125" defaultRowHeight="15" customHeight="1"/>
  <cols>
    <col min="1" max="26" width="8.7109375" customWidth="1"/>
  </cols>
  <sheetData>
    <row r="2" spans="2:2">
      <c r="B2" s="1" t="s">
        <v>3571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RAW_DATA</vt:lpstr>
      <vt:lpstr>Papers</vt:lpstr>
      <vt:lpstr>Codes</vt:lpstr>
      <vt:lpstr>Statistics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Pallomo  Matteo</cp:lastModifiedBy>
  <dcterms:created xsi:type="dcterms:W3CDTF">2026-04-16T09:46:59Z</dcterms:created>
  <dcterms:modified xsi:type="dcterms:W3CDTF">2026-04-24T14:23:29Z</dcterms:modified>
</cp:coreProperties>
</file>